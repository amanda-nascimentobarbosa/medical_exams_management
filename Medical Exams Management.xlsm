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tables/table2.xml" ContentType="application/vnd.openxmlformats-officedocument.spreadsheetml.table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mand\Documents\Meus Projetos\"/>
    </mc:Choice>
  </mc:AlternateContent>
  <xr:revisionPtr revIDLastSave="0" documentId="13_ncr:1_{1E823E74-F5D1-4616-998F-3F7F405B850B}" xr6:coauthVersionLast="47" xr6:coauthVersionMax="47" xr10:uidLastSave="{00000000-0000-0000-0000-000000000000}"/>
  <bookViews>
    <workbookView xWindow="-120" yWindow="-120" windowWidth="20730" windowHeight="11160" activeTab="2" xr2:uid="{ED5725F1-DA9F-4DAE-826D-6ED6D76DD421}"/>
  </bookViews>
  <sheets>
    <sheet name="ASO" sheetId="1" r:id="rId1"/>
    <sheet name="Dinâmicas" sheetId="3" r:id="rId2"/>
    <sheet name="Dashboard" sheetId="2" r:id="rId3"/>
  </sheets>
  <definedNames>
    <definedName name="NativeTimeline_Mês_Ano_do_Vencimento">#N/A</definedName>
    <definedName name="SegmentaçãodeDados_Setor">#N/A</definedName>
  </definedNames>
  <calcPr calcId="191029"/>
  <pivotCaches>
    <pivotCache cacheId="133" r:id="rId4"/>
  </pivotCaches>
  <extLst>
    <ext xmlns:x14="http://schemas.microsoft.com/office/spreadsheetml/2009/9/main" uri="{BBE1A952-AA13-448e-AADC-164F8A28A991}">
      <x14:slicerCaches>
        <x14:slicerCache r:id="rId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6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3" i="1" l="1"/>
  <c r="L103" i="1" s="1"/>
  <c r="M103" i="1" s="1"/>
  <c r="K103" i="1"/>
  <c r="J102" i="1"/>
  <c r="L102" i="1" s="1"/>
  <c r="M102" i="1" s="1"/>
  <c r="K102" i="1"/>
  <c r="C11" i="3"/>
  <c r="J101" i="1"/>
  <c r="L101" i="1" s="1"/>
  <c r="M101" i="1" s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H32" i="2" l="1"/>
  <c r="G32" i="2"/>
  <c r="F32" i="2"/>
  <c r="E32" i="2"/>
  <c r="H31" i="2"/>
  <c r="G31" i="2"/>
  <c r="F31" i="2"/>
  <c r="E31" i="2"/>
  <c r="H30" i="2"/>
  <c r="G30" i="2"/>
  <c r="F30" i="2"/>
  <c r="E30" i="2"/>
  <c r="H29" i="2"/>
  <c r="G29" i="2"/>
  <c r="F29" i="2"/>
  <c r="E29" i="2"/>
  <c r="H28" i="2"/>
  <c r="G28" i="2"/>
  <c r="F28" i="2"/>
  <c r="E28" i="2"/>
  <c r="H27" i="2"/>
  <c r="G27" i="2"/>
  <c r="F27" i="2"/>
  <c r="E27" i="2"/>
  <c r="H26" i="2"/>
  <c r="G26" i="2"/>
  <c r="F26" i="2"/>
  <c r="E26" i="2"/>
  <c r="H25" i="2"/>
  <c r="G25" i="2"/>
  <c r="F25" i="2"/>
  <c r="E25" i="2"/>
  <c r="H24" i="2"/>
  <c r="G24" i="2"/>
  <c r="F24" i="2"/>
  <c r="E24" i="2"/>
  <c r="H23" i="2"/>
  <c r="G23" i="2"/>
  <c r="F23" i="2"/>
  <c r="E23" i="2"/>
  <c r="H22" i="2"/>
  <c r="G22" i="2"/>
  <c r="F22" i="2"/>
  <c r="E22" i="2"/>
  <c r="J100" i="1"/>
  <c r="L100" i="1" s="1"/>
  <c r="M100" i="1" s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L64" i="1" s="1"/>
  <c r="M64" i="1" s="1"/>
  <c r="J63" i="1"/>
  <c r="J62" i="1"/>
  <c r="L62" i="1" s="1"/>
  <c r="M62" i="1" s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M14" i="1"/>
  <c r="J14" i="1"/>
  <c r="L14" i="1" s="1"/>
  <c r="J13" i="1"/>
  <c r="L13" i="1" s="1"/>
  <c r="M13" i="1" s="1"/>
  <c r="J12" i="1"/>
  <c r="J11" i="1"/>
  <c r="L11" i="1" s="1"/>
  <c r="M11" i="1" s="1"/>
  <c r="J10" i="1"/>
  <c r="L10" i="1" s="1"/>
  <c r="M10" i="1" s="1"/>
  <c r="J9" i="1"/>
  <c r="L9" i="1" s="1"/>
  <c r="M9" i="1" s="1"/>
  <c r="J8" i="1"/>
  <c r="J7" i="1"/>
  <c r="L7" i="1" s="1"/>
  <c r="M7" i="1" s="1"/>
  <c r="J6" i="1"/>
  <c r="L6" i="1" s="1"/>
  <c r="M6" i="1" s="1"/>
  <c r="J5" i="1"/>
  <c r="L5" i="1" s="1"/>
  <c r="M5" i="1" s="1"/>
  <c r="J4" i="1"/>
  <c r="J3" i="1"/>
  <c r="L3" i="1" s="1"/>
  <c r="M3" i="1" s="1"/>
  <c r="M2" i="1"/>
  <c r="J2" i="1"/>
  <c r="L66" i="1" l="1"/>
  <c r="M66" i="1" s="1"/>
  <c r="L70" i="1"/>
  <c r="M70" i="1" s="1"/>
  <c r="L74" i="1"/>
  <c r="M74" i="1" s="1"/>
  <c r="L78" i="1"/>
  <c r="M78" i="1" s="1"/>
  <c r="L82" i="1"/>
  <c r="M82" i="1" s="1"/>
  <c r="L86" i="1"/>
  <c r="M86" i="1" s="1"/>
  <c r="L90" i="1"/>
  <c r="M90" i="1" s="1"/>
  <c r="L94" i="1"/>
  <c r="M94" i="1" s="1"/>
  <c r="L98" i="1"/>
  <c r="M98" i="1" s="1"/>
  <c r="L15" i="1"/>
  <c r="M15" i="1" s="1"/>
  <c r="L23" i="1"/>
  <c r="M23" i="1" s="1"/>
  <c r="L55" i="1"/>
  <c r="M55" i="1" s="1"/>
  <c r="L19" i="1"/>
  <c r="M19" i="1" s="1"/>
  <c r="L27" i="1"/>
  <c r="M27" i="1" s="1"/>
  <c r="L31" i="1"/>
  <c r="M31" i="1" s="1"/>
  <c r="L35" i="1"/>
  <c r="M35" i="1" s="1"/>
  <c r="L39" i="1"/>
  <c r="M39" i="1" s="1"/>
  <c r="L43" i="1"/>
  <c r="M43" i="1" s="1"/>
  <c r="L47" i="1"/>
  <c r="M47" i="1" s="1"/>
  <c r="L51" i="1"/>
  <c r="M51" i="1" s="1"/>
  <c r="L59" i="1"/>
  <c r="M59" i="1" s="1"/>
  <c r="L4" i="1"/>
  <c r="M4" i="1" s="1"/>
  <c r="L8" i="1"/>
  <c r="M8" i="1" s="1"/>
  <c r="L12" i="1"/>
  <c r="M12" i="1" s="1"/>
  <c r="L63" i="1"/>
  <c r="M63" i="1" s="1"/>
  <c r="L16" i="1"/>
  <c r="M16" i="1" s="1"/>
  <c r="L20" i="1"/>
  <c r="M20" i="1" s="1"/>
  <c r="L24" i="1"/>
  <c r="M24" i="1" s="1"/>
  <c r="L28" i="1"/>
  <c r="M28" i="1" s="1"/>
  <c r="L32" i="1"/>
  <c r="M32" i="1" s="1"/>
  <c r="L36" i="1"/>
  <c r="M36" i="1" s="1"/>
  <c r="L40" i="1"/>
  <c r="M40" i="1" s="1"/>
  <c r="L44" i="1"/>
  <c r="M44" i="1" s="1"/>
  <c r="L48" i="1"/>
  <c r="M48" i="1" s="1"/>
  <c r="L52" i="1"/>
  <c r="M52" i="1" s="1"/>
  <c r="L56" i="1"/>
  <c r="M56" i="1" s="1"/>
  <c r="L60" i="1"/>
  <c r="M60" i="1" s="1"/>
  <c r="L67" i="1"/>
  <c r="M67" i="1" s="1"/>
  <c r="L71" i="1"/>
  <c r="M71" i="1" s="1"/>
  <c r="L75" i="1"/>
  <c r="M75" i="1" s="1"/>
  <c r="L79" i="1"/>
  <c r="M79" i="1" s="1"/>
  <c r="L83" i="1"/>
  <c r="M83" i="1" s="1"/>
  <c r="L87" i="1"/>
  <c r="M87" i="1" s="1"/>
  <c r="L91" i="1"/>
  <c r="M91" i="1" s="1"/>
  <c r="L95" i="1"/>
  <c r="M95" i="1" s="1"/>
  <c r="L99" i="1"/>
  <c r="M99" i="1" s="1"/>
  <c r="L2" i="1"/>
  <c r="L17" i="1"/>
  <c r="M17" i="1" s="1"/>
  <c r="L21" i="1"/>
  <c r="M21" i="1" s="1"/>
  <c r="L25" i="1"/>
  <c r="M25" i="1" s="1"/>
  <c r="L29" i="1"/>
  <c r="M29" i="1" s="1"/>
  <c r="L33" i="1"/>
  <c r="M33" i="1" s="1"/>
  <c r="L37" i="1"/>
  <c r="M37" i="1" s="1"/>
  <c r="L41" i="1"/>
  <c r="M41" i="1" s="1"/>
  <c r="L45" i="1"/>
  <c r="M45" i="1" s="1"/>
  <c r="L49" i="1"/>
  <c r="M49" i="1" s="1"/>
  <c r="L53" i="1"/>
  <c r="M53" i="1" s="1"/>
  <c r="L57" i="1"/>
  <c r="M57" i="1" s="1"/>
  <c r="L61" i="1"/>
  <c r="M61" i="1" s="1"/>
  <c r="L68" i="1"/>
  <c r="M68" i="1" s="1"/>
  <c r="L72" i="1"/>
  <c r="M72" i="1" s="1"/>
  <c r="L76" i="1"/>
  <c r="M76" i="1" s="1"/>
  <c r="L80" i="1"/>
  <c r="M80" i="1" s="1"/>
  <c r="L84" i="1"/>
  <c r="M84" i="1" s="1"/>
  <c r="L88" i="1"/>
  <c r="M88" i="1" s="1"/>
  <c r="L92" i="1"/>
  <c r="M92" i="1" s="1"/>
  <c r="L96" i="1"/>
  <c r="M96" i="1" s="1"/>
  <c r="L18" i="1"/>
  <c r="M18" i="1" s="1"/>
  <c r="L22" i="1"/>
  <c r="M22" i="1" s="1"/>
  <c r="L26" i="1"/>
  <c r="M26" i="1" s="1"/>
  <c r="L30" i="1"/>
  <c r="M30" i="1" s="1"/>
  <c r="L34" i="1"/>
  <c r="M34" i="1" s="1"/>
  <c r="L38" i="1"/>
  <c r="M38" i="1" s="1"/>
  <c r="L42" i="1"/>
  <c r="M42" i="1" s="1"/>
  <c r="L46" i="1"/>
  <c r="M46" i="1" s="1"/>
  <c r="L50" i="1"/>
  <c r="M50" i="1" s="1"/>
  <c r="L54" i="1"/>
  <c r="M54" i="1" s="1"/>
  <c r="L58" i="1"/>
  <c r="M58" i="1" s="1"/>
  <c r="L65" i="1"/>
  <c r="M65" i="1" s="1"/>
  <c r="L69" i="1"/>
  <c r="M69" i="1" s="1"/>
  <c r="L73" i="1"/>
  <c r="M73" i="1" s="1"/>
  <c r="L77" i="1"/>
  <c r="M77" i="1" s="1"/>
  <c r="L81" i="1"/>
  <c r="M81" i="1" s="1"/>
  <c r="L85" i="1"/>
  <c r="M85" i="1" s="1"/>
  <c r="L89" i="1"/>
  <c r="M89" i="1" s="1"/>
  <c r="L93" i="1"/>
  <c r="M93" i="1" s="1"/>
  <c r="L97" i="1"/>
  <c r="M97" i="1" s="1"/>
</calcChain>
</file>

<file path=xl/sharedStrings.xml><?xml version="1.0" encoding="utf-8"?>
<sst xmlns="http://schemas.openxmlformats.org/spreadsheetml/2006/main" count="1317" uniqueCount="237">
  <si>
    <t>Nome</t>
  </si>
  <si>
    <t>Matrícula</t>
  </si>
  <si>
    <t>Cargo</t>
  </si>
  <si>
    <t>Setor</t>
  </si>
  <si>
    <t>Unidade</t>
  </si>
  <si>
    <t>Risco Principal</t>
  </si>
  <si>
    <t>Periodicidade</t>
  </si>
  <si>
    <t>Tipo</t>
  </si>
  <si>
    <t>Data do Último Exame</t>
  </si>
  <si>
    <t>Data do Vencimento</t>
  </si>
  <si>
    <t>Dias Vencido</t>
  </si>
  <si>
    <t>Status</t>
  </si>
  <si>
    <t>Apto/ Não Apto</t>
  </si>
  <si>
    <t>Agendamento</t>
  </si>
  <si>
    <t>Davi Ribeiro</t>
  </si>
  <si>
    <t>Médico - Ortopedia E Traumatologia</t>
  </si>
  <si>
    <t>Ortopedia</t>
  </si>
  <si>
    <t>Centro</t>
  </si>
  <si>
    <t>Biológico</t>
  </si>
  <si>
    <t>Anual</t>
  </si>
  <si>
    <t>Demissional</t>
  </si>
  <si>
    <t>Apto</t>
  </si>
  <si>
    <t>Erick Gomes</t>
  </si>
  <si>
    <t>Técnico em Necropsia</t>
  </si>
  <si>
    <t>Laboratório de Anatomia Patológica</t>
  </si>
  <si>
    <t>Pinheiros</t>
  </si>
  <si>
    <t>Químico</t>
  </si>
  <si>
    <t>Semestral</t>
  </si>
  <si>
    <t>Periódico</t>
  </si>
  <si>
    <t>Pendente</t>
  </si>
  <si>
    <t>Maria Clara Costela</t>
  </si>
  <si>
    <t>Médico - Medicina Intensiva</t>
  </si>
  <si>
    <t>UTI</t>
  </si>
  <si>
    <t>Admissional</t>
  </si>
  <si>
    <t>Luiz Felipe Silva</t>
  </si>
  <si>
    <t>Técnico em Informática</t>
  </si>
  <si>
    <t>Tecnologia da Informação</t>
  </si>
  <si>
    <t>Ergonômico</t>
  </si>
  <si>
    <t>Levi Freitas</t>
  </si>
  <si>
    <t>Engenheiro Civil</t>
  </si>
  <si>
    <t>Infraestrutura</t>
  </si>
  <si>
    <t>Ryan Martins</t>
  </si>
  <si>
    <t>Técnico em Enfermagem</t>
  </si>
  <si>
    <t>Centro Cirúrgico</t>
  </si>
  <si>
    <t>Ana Beatriz Nunes</t>
  </si>
  <si>
    <t>Enfermeiro - Saúde Da Mulher - Obstetrícia</t>
  </si>
  <si>
    <t>Isabel Moura</t>
  </si>
  <si>
    <t>Médico - Hematologia E Hemoterapia</t>
  </si>
  <si>
    <t>Luna Novaes</t>
  </si>
  <si>
    <t>Isabella Novaes</t>
  </si>
  <si>
    <t>Assistente Administrativo</t>
  </si>
  <si>
    <t>Imagem da Mulher</t>
  </si>
  <si>
    <t>Luigi Silveira</t>
  </si>
  <si>
    <t>Cardiologia</t>
  </si>
  <si>
    <t>João Felipe Pinto</t>
  </si>
  <si>
    <t>Clínica Médica</t>
  </si>
  <si>
    <t>Daniela Souza</t>
  </si>
  <si>
    <t>Radiação</t>
  </si>
  <si>
    <t>Lavínia Ramos</t>
  </si>
  <si>
    <t>Médico - Nefrologia</t>
  </si>
  <si>
    <t>Nefrologia - Hemodiálise</t>
  </si>
  <si>
    <t>Mudança de Função</t>
  </si>
  <si>
    <t>Maria Vitória Cardoso</t>
  </si>
  <si>
    <t>Enfermeiro - Saúde Mental</t>
  </si>
  <si>
    <t>João da Costa</t>
  </si>
  <si>
    <t>Isaac Ramos</t>
  </si>
  <si>
    <t>Analista Administrativo</t>
  </si>
  <si>
    <t>Financeiro</t>
  </si>
  <si>
    <t>Joaquim Duarte</t>
  </si>
  <si>
    <t>Vicente Lopes</t>
  </si>
  <si>
    <t>Fisioterapeuta</t>
  </si>
  <si>
    <t>Reabilitação</t>
  </si>
  <si>
    <t>Isaac Castro</t>
  </si>
  <si>
    <t>CME</t>
  </si>
  <si>
    <t>Pedro Miguel Pereira</t>
  </si>
  <si>
    <t>Lívia Gomes</t>
  </si>
  <si>
    <t>Joaquim Barbosa</t>
  </si>
  <si>
    <t>Joana da Cruz</t>
  </si>
  <si>
    <t>Médico - Ginecologia E Obstetrícia</t>
  </si>
  <si>
    <t>Hospital Dia</t>
  </si>
  <si>
    <t>João Gabriel da Costa</t>
  </si>
  <si>
    <t>Pedro Rezende</t>
  </si>
  <si>
    <t>Técnico em Farmácia</t>
  </si>
  <si>
    <t>Farmácia - Clínica</t>
  </si>
  <si>
    <t>Raquel Gonçalves</t>
  </si>
  <si>
    <t>Jornalista</t>
  </si>
  <si>
    <t>Comunicação</t>
  </si>
  <si>
    <t>Esther da Mata</t>
  </si>
  <si>
    <t>Médico - Cirurgia Geral</t>
  </si>
  <si>
    <t>Laís Costela</t>
  </si>
  <si>
    <t>Pedro da Mota</t>
  </si>
  <si>
    <t>Gabriela Cunha</t>
  </si>
  <si>
    <t>Davi Jesus</t>
  </si>
  <si>
    <t>Enrico Rezende</t>
  </si>
  <si>
    <t>Administrador</t>
  </si>
  <si>
    <t>Controladoria</t>
  </si>
  <si>
    <t>Luiz Fernando Mendes</t>
  </si>
  <si>
    <t>Farmacêutico</t>
  </si>
  <si>
    <t>Laboratório de Análises Clínicas</t>
  </si>
  <si>
    <t>Bárbara Moraes</t>
  </si>
  <si>
    <t>Médico - Otorrinolaringologia</t>
  </si>
  <si>
    <t>Métodos Gráficos</t>
  </si>
  <si>
    <t>Eloah Gomes</t>
  </si>
  <si>
    <t>Médico - Anestesiologia</t>
  </si>
  <si>
    <t>Noah Santos</t>
  </si>
  <si>
    <t>Médico - Psiquiatria</t>
  </si>
  <si>
    <t>Retorno ao Trabalho</t>
  </si>
  <si>
    <t>Gabriela Lima</t>
  </si>
  <si>
    <t>Médico - Pediatria</t>
  </si>
  <si>
    <t>Pediatria</t>
  </si>
  <si>
    <t>Renan Moura</t>
  </si>
  <si>
    <t>Farmácia - Abastecimento E Dispensação</t>
  </si>
  <si>
    <t>Lívia Cardoso</t>
  </si>
  <si>
    <t>Enfermeiro - Assistencial</t>
  </si>
  <si>
    <t>Davi Lucas Gomes</t>
  </si>
  <si>
    <t>Kevin Fernandes</t>
  </si>
  <si>
    <t>Lucca Costa</t>
  </si>
  <si>
    <t>Júlia Nogueira</t>
  </si>
  <si>
    <t>Luiz Gustavo Cunha</t>
  </si>
  <si>
    <t>Fernando da Costa</t>
  </si>
  <si>
    <t>Caio Martins</t>
  </si>
  <si>
    <t>Levi Vieira</t>
  </si>
  <si>
    <t>Técnico em Radiologia</t>
  </si>
  <si>
    <t>Diagnóstico por Imagem</t>
  </si>
  <si>
    <t>Emanuelly Costela</t>
  </si>
  <si>
    <t>Natália da Rosa</t>
  </si>
  <si>
    <t>Gabriela Almeida</t>
  </si>
  <si>
    <t>Ian Lima</t>
  </si>
  <si>
    <t>João Pedro Lopes</t>
  </si>
  <si>
    <t>Enfermeiro - Saúde Da Criança E Do Adolescente - Neonatologia</t>
  </si>
  <si>
    <t>Rafael Fernandes</t>
  </si>
  <si>
    <t>Gustavo Rezende</t>
  </si>
  <si>
    <t>Médico - Oftalmologia</t>
  </si>
  <si>
    <t>Oftalmologia</t>
  </si>
  <si>
    <t>Thomas Correia</t>
  </si>
  <si>
    <t>Nutricionista</t>
  </si>
  <si>
    <t>Nutrição Clínica</t>
  </si>
  <si>
    <t>Luiz Fernando Aragão</t>
  </si>
  <si>
    <t>Enfermeiro - Vigilância</t>
  </si>
  <si>
    <t>Hotelaria</t>
  </si>
  <si>
    <t>João Lucas Lopes</t>
  </si>
  <si>
    <t>Cirurgião Dentista</t>
  </si>
  <si>
    <t>Odontologia</t>
  </si>
  <si>
    <t>Rafael Barbosa</t>
  </si>
  <si>
    <t>Técnico em Contabilidade</t>
  </si>
  <si>
    <t>Contabilidade</t>
  </si>
  <si>
    <t>Letícia Silva</t>
  </si>
  <si>
    <t>Médico - Reumatologia</t>
  </si>
  <si>
    <t>Reumatologia</t>
  </si>
  <si>
    <t>Maria Vitória Almeida</t>
  </si>
  <si>
    <t>Nicolas Cunha</t>
  </si>
  <si>
    <t>João Guilherme Cardoso</t>
  </si>
  <si>
    <t>João Vitor Cavalcanti</t>
  </si>
  <si>
    <t>Vitor Hugo Moraes</t>
  </si>
  <si>
    <t>Apoio Operacional</t>
  </si>
  <si>
    <t>Natália Campos</t>
  </si>
  <si>
    <t>Transporte Interno</t>
  </si>
  <si>
    <t>Lara da Mata</t>
  </si>
  <si>
    <t>Larissa Rezende</t>
  </si>
  <si>
    <t>Noah da Rocha</t>
  </si>
  <si>
    <t>Davi Luiz da Conceição</t>
  </si>
  <si>
    <t>Contador</t>
  </si>
  <si>
    <t>Levi Ramos</t>
  </si>
  <si>
    <t>Joaquim da Conceição</t>
  </si>
  <si>
    <t>Marina Souza</t>
  </si>
  <si>
    <t>Obstetrícia</t>
  </si>
  <si>
    <t>Lara da Costa</t>
  </si>
  <si>
    <t>Médico - Endocrinologia E Metabologia</t>
  </si>
  <si>
    <t>Endocrinologia</t>
  </si>
  <si>
    <t>Olivia Costa</t>
  </si>
  <si>
    <t>Recursos Humanos</t>
  </si>
  <si>
    <t>Bárbara Costela</t>
  </si>
  <si>
    <t>Heitor Pinto</t>
  </si>
  <si>
    <t>Fisioterapeuta - Respiratória</t>
  </si>
  <si>
    <t>Arthur Lopes</t>
  </si>
  <si>
    <t>Técnico em Análises Clínicas</t>
  </si>
  <si>
    <t>João Araújo</t>
  </si>
  <si>
    <t>Maria Alice Moreira</t>
  </si>
  <si>
    <t>Heloísa da Cunha</t>
  </si>
  <si>
    <t>Ambulatório</t>
  </si>
  <si>
    <t>Larissa Teixeira</t>
  </si>
  <si>
    <t>Bruna Costa</t>
  </si>
  <si>
    <t>Gabriel Lopes</t>
  </si>
  <si>
    <t>Médico - Clínica Médica</t>
  </si>
  <si>
    <t>Ana Júlia Peixoto</t>
  </si>
  <si>
    <t>Psicólogo - Área Hospitalar</t>
  </si>
  <si>
    <t>Atenção Psicossocial</t>
  </si>
  <si>
    <t>Maria Luiza Cardoso</t>
  </si>
  <si>
    <t>Luigi Pires</t>
  </si>
  <si>
    <t>Igor Pires</t>
  </si>
  <si>
    <t>Caroline Alves</t>
  </si>
  <si>
    <t>Técnico em Citopatologia</t>
  </si>
  <si>
    <t>Pedro Ferreira</t>
  </si>
  <si>
    <t>Maria Cecília Almeida</t>
  </si>
  <si>
    <t>Maitê das Neves</t>
  </si>
  <si>
    <t>Caio Nogueira</t>
  </si>
  <si>
    <t>Lorenzo Silveira</t>
  </si>
  <si>
    <t>Vitor da Rocha</t>
  </si>
  <si>
    <t>Danilo Nunes</t>
  </si>
  <si>
    <t>Pietro Nunes</t>
  </si>
  <si>
    <t>Matheus Nunes</t>
  </si>
  <si>
    <t>Kamilly Porto</t>
  </si>
  <si>
    <t>Rótulos de Linha</t>
  </si>
  <si>
    <t>Funcionário desligado</t>
  </si>
  <si>
    <t>Menos de 30 dias para vencer</t>
  </si>
  <si>
    <t>Válido</t>
  </si>
  <si>
    <t>Vencido</t>
  </si>
  <si>
    <t>Total Geral</t>
  </si>
  <si>
    <t>Contagem de Status</t>
  </si>
  <si>
    <t>Status dos ASOs</t>
  </si>
  <si>
    <t>Total de Vencimentos por mês/ano</t>
  </si>
  <si>
    <t>Psiquiatria</t>
  </si>
  <si>
    <t>Tabela Resumo</t>
  </si>
  <si>
    <t>Status dos ASOs por Unidade</t>
  </si>
  <si>
    <t>Rótulos de Coluna</t>
  </si>
  <si>
    <t>2022</t>
  </si>
  <si>
    <t>ago</t>
  </si>
  <si>
    <t>nov</t>
  </si>
  <si>
    <t>dez</t>
  </si>
  <si>
    <t>2023</t>
  </si>
  <si>
    <t>jan</t>
  </si>
  <si>
    <t>fev</t>
  </si>
  <si>
    <t>mar</t>
  </si>
  <si>
    <t>abr</t>
  </si>
  <si>
    <t>mai</t>
  </si>
  <si>
    <t>jun</t>
  </si>
  <si>
    <t>jul</t>
  </si>
  <si>
    <t>set</t>
  </si>
  <si>
    <t>out</t>
  </si>
  <si>
    <t>Anos</t>
  </si>
  <si>
    <t>Mês Ano do Vencimento</t>
  </si>
  <si>
    <t xml:space="preserve"> Vencimeto</t>
  </si>
  <si>
    <t>Ana Nunes</t>
  </si>
  <si>
    <t>% do Status</t>
  </si>
  <si>
    <t>Total de Funcionários</t>
  </si>
  <si>
    <t>Pedro Paulo Silva</t>
  </si>
  <si>
    <t>Paula Maria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</si>
</sst>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-416]mmm\-yy;@"/>
    <numFmt numFmtId="165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8F95A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1" fillId="2" borderId="0" xfId="0" applyFont="1" applyFill="1"/>
    <xf numFmtId="0" fontId="1" fillId="3" borderId="0" xfId="0" applyFont="1" applyFill="1"/>
    <xf numFmtId="164" fontId="0" fillId="0" borderId="0" xfId="0" applyNumberFormat="1"/>
    <xf numFmtId="0" fontId="0" fillId="0" borderId="0" xfId="0" applyAlignment="1">
      <alignment vertical="center"/>
    </xf>
    <xf numFmtId="0" fontId="0" fillId="0" borderId="10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11" xfId="0" applyBorder="1" applyAlignment="1">
      <alignment vertical="center"/>
    </xf>
    <xf numFmtId="14" fontId="0" fillId="4" borderId="11" xfId="0" applyNumberFormat="1" applyFill="1" applyBorder="1" applyAlignment="1">
      <alignment horizontal="left" vertical="center" wrapText="1"/>
    </xf>
    <xf numFmtId="164" fontId="0" fillId="4" borderId="11" xfId="0" applyNumberFormat="1" applyFill="1" applyBorder="1" applyAlignment="1">
      <alignment horizontal="left" vertical="center" wrapText="1"/>
    </xf>
    <xf numFmtId="0" fontId="0" fillId="4" borderId="11" xfId="0" applyFill="1" applyBorder="1" applyAlignment="1">
      <alignment horizontal="left" vertical="center" wrapText="1"/>
    </xf>
    <xf numFmtId="14" fontId="0" fillId="0" borderId="12" xfId="0" applyNumberFormat="1" applyBorder="1" applyAlignment="1">
      <alignment horizontal="left" vertical="center" wrapText="1"/>
    </xf>
    <xf numFmtId="0" fontId="0" fillId="0" borderId="13" xfId="0" applyBorder="1"/>
    <xf numFmtId="0" fontId="0" fillId="0" borderId="9" xfId="0" applyBorder="1"/>
    <xf numFmtId="14" fontId="0" fillId="0" borderId="9" xfId="0" applyNumberFormat="1" applyBorder="1"/>
    <xf numFmtId="164" fontId="0" fillId="0" borderId="9" xfId="0" applyNumberFormat="1" applyBorder="1"/>
    <xf numFmtId="14" fontId="0" fillId="0" borderId="14" xfId="0" applyNumberFormat="1" applyBorder="1"/>
    <xf numFmtId="0" fontId="0" fillId="0" borderId="15" xfId="0" applyBorder="1"/>
    <xf numFmtId="0" fontId="0" fillId="0" borderId="16" xfId="0" applyBorder="1"/>
    <xf numFmtId="14" fontId="0" fillId="0" borderId="16" xfId="0" applyNumberFormat="1" applyBorder="1"/>
    <xf numFmtId="164" fontId="0" fillId="0" borderId="16" xfId="0" applyNumberFormat="1" applyBorder="1"/>
    <xf numFmtId="14" fontId="0" fillId="0" borderId="17" xfId="0" applyNumberFormat="1" applyBorder="1"/>
    <xf numFmtId="0" fontId="0" fillId="5" borderId="1" xfId="0" applyFill="1" applyBorder="1"/>
    <xf numFmtId="0" fontId="0" fillId="5" borderId="2" xfId="0" applyFill="1" applyBorder="1"/>
    <xf numFmtId="14" fontId="0" fillId="5" borderId="2" xfId="0" applyNumberFormat="1" applyFill="1" applyBorder="1"/>
    <xf numFmtId="0" fontId="0" fillId="5" borderId="3" xfId="0" applyFill="1" applyBorder="1"/>
    <xf numFmtId="0" fontId="0" fillId="5" borderId="0" xfId="0" applyFill="1"/>
    <xf numFmtId="0" fontId="0" fillId="5" borderId="4" xfId="0" applyFill="1" applyBorder="1"/>
    <xf numFmtId="14" fontId="0" fillId="5" borderId="0" xfId="0" applyNumberFormat="1" applyFill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14" fontId="0" fillId="5" borderId="7" xfId="0" applyNumberFormat="1" applyFill="1" applyBorder="1"/>
    <xf numFmtId="0" fontId="0" fillId="5" borderId="8" xfId="0" applyFill="1" applyBorder="1"/>
    <xf numFmtId="0" fontId="0" fillId="0" borderId="0" xfId="0" applyNumberFormat="1"/>
    <xf numFmtId="0" fontId="3" fillId="5" borderId="0" xfId="0" applyFont="1" applyFill="1"/>
    <xf numFmtId="14" fontId="3" fillId="5" borderId="0" xfId="0" applyNumberFormat="1" applyFont="1" applyFill="1"/>
    <xf numFmtId="165" fontId="0" fillId="0" borderId="0" xfId="0" applyNumberFormat="1"/>
    <xf numFmtId="0" fontId="3" fillId="6" borderId="0" xfId="0" applyFont="1" applyFill="1"/>
    <xf numFmtId="14" fontId="3" fillId="6" borderId="0" xfId="0" applyNumberFormat="1" applyFont="1" applyFill="1"/>
    <xf numFmtId="0" fontId="0" fillId="0" borderId="0" xfId="0" applyFill="1"/>
    <xf numFmtId="0" fontId="0" fillId="0" borderId="16" xfId="0" applyNumberFormat="1" applyBorder="1"/>
  </cellXfs>
  <cellStyles count="1">
    <cellStyle name="Normal" xfId="0" builtinId="0"/>
  </cellStyles>
  <dxfs count="45">
    <dxf>
      <numFmt numFmtId="165" formatCode="0.0%"/>
    </dxf>
    <dxf>
      <numFmt numFmtId="165" formatCode="0.0%"/>
    </dxf>
    <dxf>
      <font>
        <color auto="1"/>
      </font>
      <fill>
        <patternFill>
          <bgColor rgb="FF59CD90"/>
        </patternFill>
      </fill>
    </dxf>
    <dxf>
      <font>
        <color auto="1"/>
      </font>
      <fill>
        <patternFill>
          <bgColor rgb="FFFAC05E"/>
        </patternFill>
      </fill>
    </dxf>
    <dxf>
      <font>
        <color auto="1"/>
      </font>
      <fill>
        <patternFill>
          <bgColor rgb="FFEE6352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59CD90"/>
        </patternFill>
      </fill>
    </dxf>
    <dxf>
      <fill>
        <patternFill>
          <bgColor rgb="FFEE6352"/>
        </patternFill>
      </fill>
    </dxf>
    <dxf>
      <fill>
        <patternFill>
          <bgColor rgb="FFFAC05E"/>
        </patternFill>
      </fill>
    </dxf>
    <dxf>
      <fill>
        <patternFill>
          <bgColor theme="0" tint="-0.14996795556505021"/>
        </patternFill>
      </fill>
    </dxf>
    <dxf>
      <numFmt numFmtId="165" formatCode="0.0%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</dxf>
    <dxf>
      <numFmt numFmtId="165" formatCode="0.0%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numFmt numFmtId="19" formatCode="dd/mm/yyyy"/>
      <border diagonalUp="0" diagonalDown="0">
        <left style="thin">
          <color theme="0" tint="-4.9989318521683403E-2"/>
        </left>
        <right/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numFmt numFmtId="0" formatCode="General"/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numFmt numFmtId="0" formatCode="General"/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numFmt numFmtId="0" formatCode="General"/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numFmt numFmtId="164" formatCode="[$-416]mmm\-yy;@"/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numFmt numFmtId="19" formatCode="dd/mm/yyyy"/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numFmt numFmtId="0" formatCode="General"/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numFmt numFmtId="0" formatCode="General"/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border diagonalUp="0" diagonalDown="0">
        <left/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border>
        <top style="thin">
          <color theme="0" tint="-4.9989318521683403E-2"/>
        </top>
      </border>
    </dxf>
    <dxf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border>
        <bottom style="thin">
          <color theme="0" tint="-4.9989318521683403E-2"/>
        </bottom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/>
        <i val="0"/>
        <color theme="0"/>
      </font>
      <fill>
        <patternFill>
          <bgColor rgb="FF00206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3A3E47"/>
        </patternFill>
      </fill>
    </dxf>
    <dxf>
      <font>
        <b/>
        <i val="0"/>
      </font>
      <border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 diagonalUp="0" diagonalDown="0">
        <left style="medium">
          <color rgb="FF8F95A3"/>
        </left>
        <right style="medium">
          <color rgb="FF8F95A3"/>
        </right>
        <top style="medium">
          <color rgb="FF8F95A3"/>
        </top>
        <bottom style="medium">
          <color rgb="FF8F95A3"/>
        </bottom>
        <vertical/>
        <horizontal/>
      </border>
    </dxf>
  </dxfs>
  <tableStyles count="3" defaultTableStyle="TableStyleMedium2" defaultPivotStyle="PivotStyleLight16">
    <tableStyle name="Estilo de Segmentação de Dados 1" pivot="0" table="0" count="10" xr9:uid="{2EAE01C3-77BB-4954-A824-5EE24E5650E5}">
      <tableStyleElement type="wholeTable" dxfId="44"/>
      <tableStyleElement type="headerRow" dxfId="43"/>
    </tableStyle>
    <tableStyle name="Estilo de Tabela 1" pivot="0" count="1" xr9:uid="{83AB023F-01B6-4697-8B67-8F44F492031A}">
      <tableStyleElement type="headerRow" dxfId="42"/>
    </tableStyle>
    <tableStyle name="Estilo de Tabela 2" pivot="0" count="2" xr9:uid="{8641B2D3-19B1-445E-B76A-20044A1CE282}">
      <tableStyleElement type="wholeTable" dxfId="41"/>
      <tableStyleElement type="headerRow" dxfId="40"/>
    </tableStyle>
  </tableStyles>
  <colors>
    <mruColors>
      <color rgb="FFEE6352"/>
      <color rgb="FFFAC05E"/>
      <color rgb="FF59CD90"/>
      <color rgb="FFC3C7CF"/>
      <color rgb="FFFFC000"/>
      <color rgb="FFCFD1D7"/>
      <color rgb="FF8F95A3"/>
      <color rgb="FF3A3E47"/>
      <color rgb="FFC3C747"/>
    </mruColors>
  </colors>
  <extLst>
    <ext xmlns:x14="http://schemas.microsoft.com/office/spreadsheetml/2009/9/main" uri="{46F421CA-312F-682f-3DD2-61675219B42D}">
      <x14:dxfs count="7">
        <dxf>
          <fill>
            <patternFill patternType="none">
              <bgColor auto="1"/>
            </patternFill>
          </fill>
        </dxf>
        <dxf>
          <font>
            <color auto="1"/>
          </font>
          <fill>
            <patternFill>
              <bgColor rgb="FFC3C7CF"/>
            </patternFill>
          </fill>
        </dxf>
        <dxf>
          <fill>
            <patternFill patternType="solid">
              <bgColor rgb="FFC3C7CF"/>
            </patternFill>
          </fill>
        </dxf>
        <dxf>
          <font>
            <color theme="0"/>
          </font>
          <fill>
            <patternFill>
              <bgColor rgb="FF3A3E47"/>
            </patternFill>
          </fill>
        </dxf>
        <dxf>
          <font>
            <color theme="0"/>
          </font>
          <fill>
            <patternFill>
              <bgColor rgb="FF3A3E47"/>
            </patternFill>
          </fill>
        </dxf>
        <dxf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unselectedItemWithData" dxfId="6"/>
            <x14:slicerStyleElement type="unselectedItemWithNoData" dxfId="5"/>
            <x14:slicerStyleElement type="selectedItemWithData" dxfId="4"/>
            <x14:slicerStyleElement type="selectedItemWithNoData" dxfId="3"/>
            <x14:slicerStyleElement type="hoveredUnselectedItemWithData" dxfId="2"/>
            <x14:slicerStyleElement type="hoveredSelectedItemWithData" dxfId="1"/>
            <x14:slicerStyleElement type="hoveredUnselectedItemWithNoData" dxfId="0"/>
            <x14:slicerStyleElement type="hoveredSelectedItemWithNoData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1/relationships/timelineCache" Target="timelineCaches/timelineCache1.xml"/><Relationship Id="rId11" Type="http://schemas.microsoft.com/office/2006/relationships/vbaProject" Target="vbaProject.bin"/><Relationship Id="rId5" Type="http://schemas.microsoft.com/office/2007/relationships/slicerCache" Target="slicerCaches/slicerCache1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[Medical Exams Management.xlsm]Dinâmicas!td_unidades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ysClr val="windowText" lastClr="000000"/>
                </a:solidFill>
              </a:rPr>
              <a:t>Status</a:t>
            </a:r>
            <a:r>
              <a:rPr lang="pt-BR" b="1" baseline="0">
                <a:solidFill>
                  <a:sysClr val="windowText" lastClr="000000"/>
                </a:solidFill>
              </a:rPr>
              <a:t> por unidade</a:t>
            </a:r>
            <a:endParaRPr lang="pt-BR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AC0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59CD9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EE635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AC0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59CD9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EE635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AC0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59CD9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EE635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AC0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59CD9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EE635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FAC0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59CD9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EE635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159514435695539"/>
          <c:y val="0.17171296296296298"/>
          <c:w val="0.83340485564304467"/>
          <c:h val="0.6714577865266842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Dinâmicas!$S$4:$S$5</c:f>
              <c:strCache>
                <c:ptCount val="1"/>
                <c:pt idx="0">
                  <c:v>Menos de 30 dias para vencer</c:v>
                </c:pt>
              </c:strCache>
            </c:strRef>
          </c:tx>
          <c:spPr>
            <a:solidFill>
              <a:srgbClr val="FAC05E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Dinâmicas!$R$6:$R$8</c:f>
              <c:strCache>
                <c:ptCount val="2"/>
                <c:pt idx="0">
                  <c:v>Centro</c:v>
                </c:pt>
                <c:pt idx="1">
                  <c:v>Pinheiros</c:v>
                </c:pt>
              </c:strCache>
            </c:strRef>
          </c:cat>
          <c:val>
            <c:numRef>
              <c:f>Dinâmicas!$S$6:$S$8</c:f>
              <c:numCache>
                <c:formatCode>0.0%</c:formatCode>
                <c:ptCount val="2"/>
                <c:pt idx="0">
                  <c:v>0.03</c:v>
                </c:pt>
                <c:pt idx="1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1B-40BB-AAE1-EC7987C07F4E}"/>
            </c:ext>
          </c:extLst>
        </c:ser>
        <c:ser>
          <c:idx val="1"/>
          <c:order val="1"/>
          <c:tx>
            <c:strRef>
              <c:f>Dinâmicas!$T$4:$T$5</c:f>
              <c:strCache>
                <c:ptCount val="1"/>
                <c:pt idx="0">
                  <c:v>Válido</c:v>
                </c:pt>
              </c:strCache>
            </c:strRef>
          </c:tx>
          <c:spPr>
            <a:solidFill>
              <a:srgbClr val="59CD9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Dinâmicas!$R$6:$R$8</c:f>
              <c:strCache>
                <c:ptCount val="2"/>
                <c:pt idx="0">
                  <c:v>Centro</c:v>
                </c:pt>
                <c:pt idx="1">
                  <c:v>Pinheiros</c:v>
                </c:pt>
              </c:strCache>
            </c:strRef>
          </c:cat>
          <c:val>
            <c:numRef>
              <c:f>Dinâmicas!$T$6:$T$8</c:f>
              <c:numCache>
                <c:formatCode>0.0%</c:formatCode>
                <c:ptCount val="2"/>
                <c:pt idx="0">
                  <c:v>0.23</c:v>
                </c:pt>
                <c:pt idx="1">
                  <c:v>0.39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112-47B8-963E-03EEA28A4F80}"/>
            </c:ext>
          </c:extLst>
        </c:ser>
        <c:ser>
          <c:idx val="2"/>
          <c:order val="2"/>
          <c:tx>
            <c:strRef>
              <c:f>Dinâmicas!$U$4:$U$5</c:f>
              <c:strCache>
                <c:ptCount val="1"/>
                <c:pt idx="0">
                  <c:v>Vencido</c:v>
                </c:pt>
              </c:strCache>
            </c:strRef>
          </c:tx>
          <c:spPr>
            <a:solidFill>
              <a:srgbClr val="EE635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Dinâmicas!$R$6:$R$8</c:f>
              <c:strCache>
                <c:ptCount val="2"/>
                <c:pt idx="0">
                  <c:v>Centro</c:v>
                </c:pt>
                <c:pt idx="1">
                  <c:v>Pinheiros</c:v>
                </c:pt>
              </c:strCache>
            </c:strRef>
          </c:cat>
          <c:val>
            <c:numRef>
              <c:f>Dinâmicas!$U$6:$U$8</c:f>
              <c:numCache>
                <c:formatCode>0.0%</c:formatCode>
                <c:ptCount val="2"/>
                <c:pt idx="0">
                  <c:v>0.15</c:v>
                </c:pt>
                <c:pt idx="1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112-47B8-963E-03EEA28A4F8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43272879"/>
        <c:axId val="665956799"/>
      </c:barChart>
      <c:catAx>
        <c:axId val="11432728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5956799"/>
        <c:crosses val="autoZero"/>
        <c:auto val="1"/>
        <c:lblAlgn val="ctr"/>
        <c:lblOffset val="100"/>
        <c:noMultiLvlLbl val="0"/>
      </c:catAx>
      <c:valAx>
        <c:axId val="665956799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143272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rgbClr val="C3C7CF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[Medical Exams Management.xlsm]Dinâmicas!td_vencimentos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Quantidade</a:t>
            </a:r>
            <a:r>
              <a:rPr lang="en-US" b="1" baseline="0">
                <a:solidFill>
                  <a:sysClr val="windowText" lastClr="000000"/>
                </a:solidFill>
              </a:rPr>
              <a:t> de exames que vencem por mês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>
              <a:lumMod val="75000"/>
              <a:lumOff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Dinâmicas!$H$4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Dinâmicas!$F$5:$G$20</c:f>
              <c:multiLvlStrCache>
                <c:ptCount val="15"/>
                <c:lvl>
                  <c:pt idx="0">
                    <c:v>ago</c:v>
                  </c:pt>
                  <c:pt idx="1">
                    <c:v>nov</c:v>
                  </c:pt>
                  <c:pt idx="2">
                    <c:v>dez</c:v>
                  </c:pt>
                  <c:pt idx="3">
                    <c:v>jan</c:v>
                  </c:pt>
                  <c:pt idx="4">
                    <c:v>fev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mai</c:v>
                  </c:pt>
                  <c:pt idx="8">
                    <c:v>jun</c:v>
                  </c:pt>
                  <c:pt idx="9">
                    <c:v>jul</c:v>
                  </c:pt>
                  <c:pt idx="10">
                    <c:v>ago</c:v>
                  </c:pt>
                  <c:pt idx="11">
                    <c:v>set</c:v>
                  </c:pt>
                  <c:pt idx="12">
                    <c:v>out</c:v>
                  </c:pt>
                  <c:pt idx="13">
                    <c:v>nov</c:v>
                  </c:pt>
                  <c:pt idx="14">
                    <c:v>dez</c:v>
                  </c:pt>
                </c:lvl>
                <c:lvl>
                  <c:pt idx="0">
                    <c:v>2022</c:v>
                  </c:pt>
                  <c:pt idx="3">
                    <c:v>2023</c:v>
                  </c:pt>
                </c:lvl>
              </c:multiLvlStrCache>
            </c:multiLvlStrRef>
          </c:cat>
          <c:val>
            <c:numRef>
              <c:f>Dinâmicas!$H$5:$H$20</c:f>
              <c:numCache>
                <c:formatCode>General</c:formatCode>
                <c:ptCount val="15"/>
                <c:pt idx="0">
                  <c:v>4</c:v>
                </c:pt>
                <c:pt idx="1">
                  <c:v>1</c:v>
                </c:pt>
                <c:pt idx="2">
                  <c:v>2</c:v>
                </c:pt>
                <c:pt idx="3">
                  <c:v>5</c:v>
                </c:pt>
                <c:pt idx="4">
                  <c:v>10</c:v>
                </c:pt>
                <c:pt idx="5">
                  <c:v>12</c:v>
                </c:pt>
                <c:pt idx="6">
                  <c:v>6</c:v>
                </c:pt>
                <c:pt idx="7">
                  <c:v>12</c:v>
                </c:pt>
                <c:pt idx="8">
                  <c:v>7</c:v>
                </c:pt>
                <c:pt idx="9">
                  <c:v>8</c:v>
                </c:pt>
                <c:pt idx="10">
                  <c:v>4</c:v>
                </c:pt>
                <c:pt idx="11">
                  <c:v>5</c:v>
                </c:pt>
                <c:pt idx="12">
                  <c:v>19</c:v>
                </c:pt>
                <c:pt idx="13">
                  <c:v>4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79-4880-9362-F1C0A6E2161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92065664"/>
        <c:axId val="1228159648"/>
      </c:barChart>
      <c:catAx>
        <c:axId val="1092065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8159648"/>
        <c:crosses val="autoZero"/>
        <c:auto val="1"/>
        <c:lblAlgn val="ctr"/>
        <c:lblOffset val="100"/>
        <c:noMultiLvlLbl val="0"/>
      </c:catAx>
      <c:valAx>
        <c:axId val="1228159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9206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rgbClr val="C3C7CF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A$35" max="100" page="10" val="4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5" Type="http://schemas.openxmlformats.org/officeDocument/2006/relationships/image" Target="../media/image5.svg"/><Relationship Id="rId10" Type="http://schemas.openxmlformats.org/officeDocument/2006/relationships/chart" Target="../charts/chart2.xml"/><Relationship Id="rId4" Type="http://schemas.openxmlformats.org/officeDocument/2006/relationships/image" Target="../media/image4.png"/><Relationship Id="rId9" Type="http://schemas.openxmlformats.org/officeDocument/2006/relationships/image" Target="../media/image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95249</xdr:colOff>
      <xdr:row>11</xdr:row>
      <xdr:rowOff>114298</xdr:rowOff>
    </xdr:from>
    <xdr:to>
      <xdr:col>3</xdr:col>
      <xdr:colOff>219074</xdr:colOff>
      <xdr:row>31</xdr:row>
      <xdr:rowOff>190499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Setor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49" y="2209798"/>
              <a:ext cx="1952625" cy="38862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523875</xdr:colOff>
          <xdr:row>19</xdr:row>
          <xdr:rowOff>171450</xdr:rowOff>
        </xdr:from>
        <xdr:to>
          <xdr:col>3</xdr:col>
          <xdr:colOff>828675</xdr:colOff>
          <xdr:row>32</xdr:row>
          <xdr:rowOff>0</xdr:rowOff>
        </xdr:to>
        <xdr:sp macro="" textlink="">
          <xdr:nvSpPr>
            <xdr:cNvPr id="2049" name="Scroll Ba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3</xdr:col>
      <xdr:colOff>438149</xdr:colOff>
      <xdr:row>0</xdr:row>
      <xdr:rowOff>0</xdr:rowOff>
    </xdr:from>
    <xdr:to>
      <xdr:col>5</xdr:col>
      <xdr:colOff>2343149</xdr:colOff>
      <xdr:row>3</xdr:row>
      <xdr:rowOff>55790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/>
      </xdr:nvSpPr>
      <xdr:spPr>
        <a:xfrm>
          <a:off x="2266949" y="0"/>
          <a:ext cx="5229225" cy="627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2000">
              <a:solidFill>
                <a:schemeClr val="bg1">
                  <a:lumMod val="50000"/>
                </a:schemeClr>
              </a:solidFill>
            </a:rPr>
            <a:t>Dashboard</a:t>
          </a:r>
          <a:r>
            <a:rPr lang="pt-BR" sz="2000" baseline="0">
              <a:solidFill>
                <a:schemeClr val="bg1">
                  <a:lumMod val="50000"/>
                </a:schemeClr>
              </a:solidFill>
            </a:rPr>
            <a:t> </a:t>
          </a:r>
          <a:r>
            <a:rPr lang="pt-BR" sz="2000" b="1" baseline="0">
              <a:solidFill>
                <a:sysClr val="windowText" lastClr="000000"/>
              </a:solidFill>
            </a:rPr>
            <a:t>Controle de ASO</a:t>
          </a:r>
          <a:endParaRPr lang="pt-BR" sz="2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1971674</xdr:colOff>
      <xdr:row>3</xdr:row>
      <xdr:rowOff>47625</xdr:rowOff>
    </xdr:from>
    <xdr:to>
      <xdr:col>6</xdr:col>
      <xdr:colOff>1483724</xdr:colOff>
      <xdr:row>7</xdr:row>
      <xdr:rowOff>47625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7410449" y="619125"/>
          <a:ext cx="2160000" cy="762000"/>
        </a:xfrm>
        <a:prstGeom prst="roundRect">
          <a:avLst/>
        </a:prstGeom>
        <a:noFill/>
        <a:ln w="19050">
          <a:solidFill>
            <a:srgbClr val="59CD9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r"/>
          <a:endParaRPr lang="en-US" sz="2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7</xdr:col>
      <xdr:colOff>133350</xdr:colOff>
      <xdr:row>3</xdr:row>
      <xdr:rowOff>47625</xdr:rowOff>
    </xdr:from>
    <xdr:to>
      <xdr:col>8</xdr:col>
      <xdr:colOff>207375</xdr:colOff>
      <xdr:row>7</xdr:row>
      <xdr:rowOff>47625</xdr:rowOff>
    </xdr:to>
    <xdr:sp macro="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9953625" y="619125"/>
          <a:ext cx="2160000" cy="762000"/>
        </a:xfrm>
        <a:prstGeom prst="roundRect">
          <a:avLst/>
        </a:prstGeom>
        <a:noFill/>
        <a:ln w="19050">
          <a:solidFill>
            <a:srgbClr val="C3C7CF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r"/>
          <a:endParaRPr lang="en-US" sz="2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4</xdr:col>
      <xdr:colOff>2143123</xdr:colOff>
      <xdr:row>3</xdr:row>
      <xdr:rowOff>47625</xdr:rowOff>
    </xdr:from>
    <xdr:to>
      <xdr:col>5</xdr:col>
      <xdr:colOff>1588498</xdr:colOff>
      <xdr:row>7</xdr:row>
      <xdr:rowOff>47625</xdr:rowOff>
    </xdr:to>
    <xdr:sp macro="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4867273" y="619125"/>
          <a:ext cx="2160000" cy="762000"/>
        </a:xfrm>
        <a:prstGeom prst="roundRect">
          <a:avLst/>
        </a:prstGeom>
        <a:noFill/>
        <a:ln w="19050">
          <a:solidFill>
            <a:srgbClr val="FFC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r"/>
          <a:endParaRPr lang="en-US" sz="2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3</xdr:col>
      <xdr:colOff>495299</xdr:colOff>
      <xdr:row>3</xdr:row>
      <xdr:rowOff>47625</xdr:rowOff>
    </xdr:from>
    <xdr:to>
      <xdr:col>4</xdr:col>
      <xdr:colOff>1759947</xdr:colOff>
      <xdr:row>7</xdr:row>
      <xdr:rowOff>47625</xdr:rowOff>
    </xdr:to>
    <xdr:sp macro="" textlink="Dinâmicas!C8">
      <xdr:nvSpPr>
        <xdr:cNvPr id="27" name="Retângulo: Cantos Arredondado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2324099" y="619125"/>
          <a:ext cx="2159998" cy="762000"/>
        </a:xfrm>
        <a:prstGeom prst="roundRect">
          <a:avLst/>
        </a:prstGeom>
        <a:noFill/>
        <a:ln w="19050">
          <a:solidFill>
            <a:srgbClr val="EE6352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r"/>
          <a:endParaRPr lang="pt-BR" sz="2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3</xdr:col>
      <xdr:colOff>523875</xdr:colOff>
      <xdr:row>8</xdr:row>
      <xdr:rowOff>85723</xdr:rowOff>
    </xdr:from>
    <xdr:to>
      <xdr:col>5</xdr:col>
      <xdr:colOff>1701900</xdr:colOff>
      <xdr:row>18</xdr:row>
      <xdr:rowOff>160723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228601</xdr:colOff>
      <xdr:row>3</xdr:row>
      <xdr:rowOff>95250</xdr:rowOff>
    </xdr:from>
    <xdr:to>
      <xdr:col>7</xdr:col>
      <xdr:colOff>588601</xdr:colOff>
      <xdr:row>5</xdr:row>
      <xdr:rowOff>74250</xdr:rowOff>
    </xdr:to>
    <xdr:pic>
      <xdr:nvPicPr>
        <xdr:cNvPr id="30" name="Gráfico 29" descr="Usuários estrutura de tópicos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048876" y="666750"/>
          <a:ext cx="360000" cy="360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</xdr:row>
      <xdr:rowOff>152398</xdr:rowOff>
    </xdr:from>
    <xdr:to>
      <xdr:col>8</xdr:col>
      <xdr:colOff>154425</xdr:colOff>
      <xdr:row>7</xdr:row>
      <xdr:rowOff>47623</xdr:rowOff>
    </xdr:to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9972675" y="1104898"/>
          <a:ext cx="20880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r>
            <a:rPr lang="pt-BR" sz="1200" b="1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rPr>
            <a:t>Total de Funcionários</a:t>
          </a:r>
        </a:p>
      </xdr:txBody>
    </xdr:sp>
    <xdr:clientData/>
  </xdr:twoCellAnchor>
  <xdr:twoCellAnchor>
    <xdr:from>
      <xdr:col>7</xdr:col>
      <xdr:colOff>1019175</xdr:colOff>
      <xdr:row>3</xdr:row>
      <xdr:rowOff>133349</xdr:rowOff>
    </xdr:from>
    <xdr:to>
      <xdr:col>7</xdr:col>
      <xdr:colOff>1809750</xdr:colOff>
      <xdr:row>5</xdr:row>
      <xdr:rowOff>76199</xdr:rowOff>
    </xdr:to>
    <xdr:sp macro="" textlink="Dinâmicas!C11">
      <xdr:nvSpPr>
        <xdr:cNvPr id="32" name="CaixaDeTexto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 txBox="1"/>
      </xdr:nvSpPr>
      <xdr:spPr>
        <a:xfrm>
          <a:off x="10839450" y="704849"/>
          <a:ext cx="790575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23B326C-040A-46D8-9D4A-D281EF165A01}" type="TxLink">
            <a:rPr lang="en-US" sz="1800" b="1" i="0" u="none" strike="noStrike">
              <a:solidFill>
                <a:srgbClr val="000000"/>
              </a:solidFill>
              <a:latin typeface="Calibri"/>
              <a:cs typeface="Calibri"/>
            </a:rPr>
            <a:t>100</a:t>
          </a:fld>
          <a:endParaRPr lang="pt-BR" sz="3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2047199</xdr:colOff>
      <xdr:row>5</xdr:row>
      <xdr:rowOff>152398</xdr:rowOff>
    </xdr:from>
    <xdr:to>
      <xdr:col>7</xdr:col>
      <xdr:colOff>601424</xdr:colOff>
      <xdr:row>7</xdr:row>
      <xdr:rowOff>47623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 txBox="1"/>
      </xdr:nvSpPr>
      <xdr:spPr>
        <a:xfrm>
          <a:off x="7485974" y="1104898"/>
          <a:ext cx="293572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r>
            <a:rPr lang="pt-BR" sz="1200" b="1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rPr>
            <a:t>Exames Válidos</a:t>
          </a:r>
        </a:p>
      </xdr:txBody>
    </xdr:sp>
    <xdr:clientData/>
  </xdr:twoCellAnchor>
  <xdr:twoCellAnchor>
    <xdr:from>
      <xdr:col>6</xdr:col>
      <xdr:colOff>51859</xdr:colOff>
      <xdr:row>3</xdr:row>
      <xdr:rowOff>133349</xdr:rowOff>
    </xdr:from>
    <xdr:to>
      <xdr:col>6</xdr:col>
      <xdr:colOff>1036109</xdr:colOff>
      <xdr:row>5</xdr:row>
      <xdr:rowOff>76199</xdr:rowOff>
    </xdr:to>
    <xdr:sp macro="" textlink="Dinâmicas!D7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 txBox="1"/>
      </xdr:nvSpPr>
      <xdr:spPr>
        <a:xfrm>
          <a:off x="8138584" y="704849"/>
          <a:ext cx="984250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D47D7B05-803A-42D7-8301-471A425B2E42}" type="TxLink">
            <a: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60,8%</a:t>
          </a:fld>
          <a:endParaRPr lang="pt-BR" sz="18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4</xdr:col>
      <xdr:colOff>2179874</xdr:colOff>
      <xdr:row>5</xdr:row>
      <xdr:rowOff>152398</xdr:rowOff>
    </xdr:from>
    <xdr:to>
      <xdr:col>5</xdr:col>
      <xdr:colOff>1838999</xdr:colOff>
      <xdr:row>7</xdr:row>
      <xdr:rowOff>47623</xdr:rowOff>
    </xdr:to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 txBox="1"/>
      </xdr:nvSpPr>
      <xdr:spPr>
        <a:xfrm>
          <a:off x="4904024" y="1104898"/>
          <a:ext cx="20880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100" b="1">
              <a:solidFill>
                <a:schemeClr val="bg1">
                  <a:lumMod val="50000"/>
                </a:schemeClr>
              </a:solidFill>
            </a:rPr>
            <a:t>Exames </a:t>
          </a:r>
          <a:r>
            <a:rPr lang="pt-BR" sz="1100" b="1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rPr>
            <a:t>Próximo</a:t>
          </a:r>
          <a:r>
            <a:rPr lang="pt-BR" sz="1100" b="1">
              <a:solidFill>
                <a:schemeClr val="bg1">
                  <a:lumMod val="50000"/>
                </a:schemeClr>
              </a:solidFill>
            </a:rPr>
            <a:t> ao Vencimento</a:t>
          </a:r>
        </a:p>
      </xdr:txBody>
    </xdr:sp>
    <xdr:clientData/>
  </xdr:twoCellAnchor>
  <xdr:twoCellAnchor>
    <xdr:from>
      <xdr:col>5</xdr:col>
      <xdr:colOff>192617</xdr:colOff>
      <xdr:row>3</xdr:row>
      <xdr:rowOff>133349</xdr:rowOff>
    </xdr:from>
    <xdr:to>
      <xdr:col>5</xdr:col>
      <xdr:colOff>983192</xdr:colOff>
      <xdr:row>5</xdr:row>
      <xdr:rowOff>76199</xdr:rowOff>
    </xdr:to>
    <xdr:sp macro="" textlink="Dinâmicas!D6">
      <xdr:nvSpPr>
        <xdr:cNvPr id="36" name="CaixaDeTexto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 txBox="1"/>
      </xdr:nvSpPr>
      <xdr:spPr>
        <a:xfrm>
          <a:off x="5631392" y="704849"/>
          <a:ext cx="790575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E26CCC64-1F77-4289-9680-73BF3C20C7A5}" type="TxLink">
            <a: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8,8%</a:t>
          </a:fld>
          <a:endParaRPr lang="pt-BR" sz="18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3</xdr:col>
      <xdr:colOff>514349</xdr:colOff>
      <xdr:row>5</xdr:row>
      <xdr:rowOff>152398</xdr:rowOff>
    </xdr:from>
    <xdr:to>
      <xdr:col>4</xdr:col>
      <xdr:colOff>1743074</xdr:colOff>
      <xdr:row>7</xdr:row>
      <xdr:rowOff>47623</xdr:rowOff>
    </xdr:to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 txBox="1"/>
      </xdr:nvSpPr>
      <xdr:spPr>
        <a:xfrm>
          <a:off x="2343149" y="1104898"/>
          <a:ext cx="21240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200" b="1">
              <a:solidFill>
                <a:schemeClr val="bg1">
                  <a:lumMod val="50000"/>
                </a:schemeClr>
              </a:solidFill>
            </a:rPr>
            <a:t>Exames</a:t>
          </a:r>
          <a:r>
            <a:rPr lang="pt-BR" sz="1200" b="1" baseline="0">
              <a:solidFill>
                <a:schemeClr val="bg1">
                  <a:lumMod val="50000"/>
                </a:schemeClr>
              </a:solidFill>
            </a:rPr>
            <a:t> </a:t>
          </a:r>
          <a:r>
            <a:rPr lang="pt-BR" sz="1200" b="1">
              <a:solidFill>
                <a:schemeClr val="bg1">
                  <a:lumMod val="50000"/>
                </a:schemeClr>
              </a:solidFill>
            </a:rPr>
            <a:t>Vencidos</a:t>
          </a:r>
        </a:p>
      </xdr:txBody>
    </xdr:sp>
    <xdr:clientData/>
  </xdr:twoCellAnchor>
  <xdr:twoCellAnchor>
    <xdr:from>
      <xdr:col>4</xdr:col>
      <xdr:colOff>400050</xdr:colOff>
      <xdr:row>3</xdr:row>
      <xdr:rowOff>133349</xdr:rowOff>
    </xdr:from>
    <xdr:to>
      <xdr:col>4</xdr:col>
      <xdr:colOff>1190625</xdr:colOff>
      <xdr:row>5</xdr:row>
      <xdr:rowOff>76199</xdr:rowOff>
    </xdr:to>
    <xdr:sp macro="" textlink="Dinâmicas!D8">
      <xdr:nvSpPr>
        <xdr:cNvPr id="38" name="CaixaDeTexto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 txBox="1"/>
      </xdr:nvSpPr>
      <xdr:spPr>
        <a:xfrm>
          <a:off x="3124200" y="704849"/>
          <a:ext cx="790575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733936C1-A842-45D8-B412-3F567618C159}" type="TxLink">
            <a: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t>28,4%</a:t>
          </a:fld>
          <a:endParaRPr lang="pt-BR" sz="3600" b="1" i="0" u="none" strike="noStrike">
            <a:solidFill>
              <a:sysClr val="windowText" lastClr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5</xdr:col>
      <xdr:colOff>2078026</xdr:colOff>
      <xdr:row>3</xdr:row>
      <xdr:rowOff>95250</xdr:rowOff>
    </xdr:from>
    <xdr:to>
      <xdr:col>5</xdr:col>
      <xdr:colOff>2438026</xdr:colOff>
      <xdr:row>5</xdr:row>
      <xdr:rowOff>74250</xdr:rowOff>
    </xdr:to>
    <xdr:pic>
      <xdr:nvPicPr>
        <xdr:cNvPr id="39" name="Gráfico 38" descr="Rosto sorridente com preenchimento sólido com preenchimento sólido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7516801" y="66675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4</xdr:col>
      <xdr:colOff>2260576</xdr:colOff>
      <xdr:row>3</xdr:row>
      <xdr:rowOff>95250</xdr:rowOff>
    </xdr:from>
    <xdr:to>
      <xdr:col>4</xdr:col>
      <xdr:colOff>2620576</xdr:colOff>
      <xdr:row>5</xdr:row>
      <xdr:rowOff>74250</xdr:rowOff>
    </xdr:to>
    <xdr:pic>
      <xdr:nvPicPr>
        <xdr:cNvPr id="40" name="Gráfico 39" descr="Rosto neutro com preenchimento sólido  com preenchimento sólido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984726" y="66675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3</xdr:col>
      <xdr:colOff>623851</xdr:colOff>
      <xdr:row>3</xdr:row>
      <xdr:rowOff>95250</xdr:rowOff>
    </xdr:from>
    <xdr:to>
      <xdr:col>4</xdr:col>
      <xdr:colOff>88501</xdr:colOff>
      <xdr:row>5</xdr:row>
      <xdr:rowOff>74250</xdr:rowOff>
    </xdr:to>
    <xdr:pic>
      <xdr:nvPicPr>
        <xdr:cNvPr id="41" name="Gráfico 40" descr="Rosto triste com preenchimento sólido  com preenchimento sólido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452651" y="666750"/>
          <a:ext cx="360000" cy="360000"/>
        </a:xfrm>
        <a:prstGeom prst="rect">
          <a:avLst/>
        </a:prstGeom>
      </xdr:spPr>
    </xdr:pic>
    <xdr:clientData/>
  </xdr:twoCellAnchor>
  <xdr:twoCellAnchor>
    <xdr:from>
      <xdr:col>5</xdr:col>
      <xdr:colOff>1933576</xdr:colOff>
      <xdr:row>8</xdr:row>
      <xdr:rowOff>85723</xdr:rowOff>
    </xdr:from>
    <xdr:to>
      <xdr:col>8</xdr:col>
      <xdr:colOff>254101</xdr:colOff>
      <xdr:row>18</xdr:row>
      <xdr:rowOff>160723</xdr:rowOff>
    </xdr:to>
    <xdr:graphicFrame macro="">
      <xdr:nvGraphicFramePr>
        <xdr:cNvPr id="43" name="Gráfico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447675</xdr:colOff>
      <xdr:row>2</xdr:row>
      <xdr:rowOff>85725</xdr:rowOff>
    </xdr:from>
    <xdr:to>
      <xdr:col>8</xdr:col>
      <xdr:colOff>314325</xdr:colOff>
      <xdr:row>2</xdr:row>
      <xdr:rowOff>85725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7830127E-4E8B-4072-97E3-32953E98E81F}"/>
            </a:ext>
          </a:extLst>
        </xdr:cNvPr>
        <xdr:cNvCxnSpPr/>
      </xdr:nvCxnSpPr>
      <xdr:spPr>
        <a:xfrm>
          <a:off x="2276475" y="466725"/>
          <a:ext cx="9944100" cy="0"/>
        </a:xfrm>
        <a:prstGeom prst="line">
          <a:avLst/>
        </a:prstGeom>
        <a:ln w="19050">
          <a:solidFill>
            <a:srgbClr val="C3C7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95250</xdr:colOff>
      <xdr:row>3</xdr:row>
      <xdr:rowOff>19050</xdr:rowOff>
    </xdr:from>
    <xdr:to>
      <xdr:col>3</xdr:col>
      <xdr:colOff>228600</xdr:colOff>
      <xdr:row>10</xdr:row>
      <xdr:rowOff>161925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9" name="Mês Ano do Vencimento 1">
              <a:extLst>
                <a:ext uri="{FF2B5EF4-FFF2-40B4-BE49-F238E27FC236}">
                  <a16:creationId xmlns:a16="http://schemas.microsoft.com/office/drawing/2014/main" id="{9B2921E9-0601-490A-A73B-FBC06A3FDC1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Mês Ano do Venciment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590550"/>
              <a:ext cx="1962150" cy="1476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0</xdr:col>
      <xdr:colOff>333375</xdr:colOff>
      <xdr:row>0</xdr:row>
      <xdr:rowOff>95251</xdr:rowOff>
    </xdr:from>
    <xdr:to>
      <xdr:col>2</xdr:col>
      <xdr:colOff>333375</xdr:colOff>
      <xdr:row>2</xdr:row>
      <xdr:rowOff>95251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53104D1A-A9F1-3957-3192-EE8284D28BF4}"/>
            </a:ext>
          </a:extLst>
        </xdr:cNvPr>
        <xdr:cNvGrpSpPr/>
      </xdr:nvGrpSpPr>
      <xdr:grpSpPr>
        <a:xfrm>
          <a:off x="333375" y="95251"/>
          <a:ext cx="1219200" cy="381000"/>
          <a:chOff x="314325" y="66675"/>
          <a:chExt cx="3076138" cy="1028700"/>
        </a:xfrm>
      </xdr:grpSpPr>
      <xdr:pic>
        <xdr:nvPicPr>
          <xdr:cNvPr id="11" name="Imagem 10">
            <a:extLst>
              <a:ext uri="{FF2B5EF4-FFF2-40B4-BE49-F238E27FC236}">
                <a16:creationId xmlns:a16="http://schemas.microsoft.com/office/drawing/2014/main" id="{3B109E6F-A058-E4C4-579D-CBD3BC32458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1"/>
          <a:srcRect t="14514" b="5658"/>
          <a:stretch/>
        </xdr:blipFill>
        <xdr:spPr>
          <a:xfrm>
            <a:off x="314325" y="66675"/>
            <a:ext cx="3076138" cy="1028700"/>
          </a:xfrm>
          <a:prstGeom prst="rect">
            <a:avLst/>
          </a:prstGeom>
        </xdr:spPr>
      </xdr:pic>
      <xdr:sp macro="" textlink="">
        <xdr:nvSpPr>
          <xdr:cNvPr id="12" name="Retângulo 11">
            <a:extLst>
              <a:ext uri="{FF2B5EF4-FFF2-40B4-BE49-F238E27FC236}">
                <a16:creationId xmlns:a16="http://schemas.microsoft.com/office/drawing/2014/main" id="{620CA9CC-3975-A7F7-070F-076AD2625D2D}"/>
              </a:ext>
            </a:extLst>
          </xdr:cNvPr>
          <xdr:cNvSpPr/>
        </xdr:nvSpPr>
        <xdr:spPr>
          <a:xfrm>
            <a:off x="1847850" y="762000"/>
            <a:ext cx="1276350" cy="2286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1438275</xdr:colOff>
          <xdr:row>0</xdr:row>
          <xdr:rowOff>95250</xdr:rowOff>
        </xdr:from>
        <xdr:to>
          <xdr:col>8</xdr:col>
          <xdr:colOff>304800</xdr:colOff>
          <xdr:row>1</xdr:row>
          <xdr:rowOff>180975</xdr:rowOff>
        </xdr:to>
        <xdr:sp macro="" textlink="">
          <xdr:nvSpPr>
            <xdr:cNvPr id="2050" name="Atualiza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7</xdr:col>
      <xdr:colOff>1552575</xdr:colOff>
      <xdr:row>1</xdr:row>
      <xdr:rowOff>104775</xdr:rowOff>
    </xdr:from>
    <xdr:ext cx="184731" cy="264560"/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18970FC4-4BBB-8B55-B65C-D414BD6C7958}"/>
            </a:ext>
          </a:extLst>
        </xdr:cNvPr>
        <xdr:cNvSpPr txBox="1"/>
      </xdr:nvSpPr>
      <xdr:spPr>
        <a:xfrm>
          <a:off x="11372850" y="295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and" refreshedDate="45013.784625231485" createdVersion="8" refreshedVersion="8" minRefreshableVersion="3" recordCount="102" xr:uid="{E9258987-E014-450A-8D91-0FD6F3705ACC}">
  <cacheSource type="worksheet">
    <worksheetSource name="Tb_funcionarios"/>
  </cacheSource>
  <cacheFields count="20">
    <cacheField name="Nome" numFmtId="0">
      <sharedItems count="102">
        <s v="Davi Ribeiro"/>
        <s v="Erick Gomes"/>
        <s v="Maria Clara Costela"/>
        <s v="Luiz Felipe Silva"/>
        <s v="Levi Freitas"/>
        <s v="Ryan Martins"/>
        <s v="Ana Beatriz Nunes"/>
        <s v="Isabel Moura"/>
        <s v="Luna Novaes"/>
        <s v="Isabella Novaes"/>
        <s v="Luigi Silveira"/>
        <s v="João Felipe Pinto"/>
        <s v="Daniela Souza"/>
        <s v="Lavínia Ramos"/>
        <s v="Maria Vitória Cardoso"/>
        <s v="João da Costa"/>
        <s v="Isaac Ramos"/>
        <s v="Joaquim Duarte"/>
        <s v="Vicente Lopes"/>
        <s v="Isaac Castro"/>
        <s v="Pedro Miguel Pereira"/>
        <s v="Lívia Gomes"/>
        <s v="Joaquim Barbosa"/>
        <s v="Joana da Cruz"/>
        <s v="João Gabriel da Costa"/>
        <s v="Pedro Rezende"/>
        <s v="Raquel Gonçalves"/>
        <s v="Esther da Mata"/>
        <s v="Laís Costela"/>
        <s v="Pedro da Mota"/>
        <s v="Gabriela Cunha"/>
        <s v="Davi Jesus"/>
        <s v="Enrico Rezende"/>
        <s v="Luiz Fernando Mendes"/>
        <s v="Bárbara Moraes"/>
        <s v="Eloah Gomes"/>
        <s v="Noah Santos"/>
        <s v="Gabriela Lima"/>
        <s v="Renan Moura"/>
        <s v="Lívia Cardoso"/>
        <s v="Davi Lucas Gomes"/>
        <s v="Kevin Fernandes"/>
        <s v="Lucca Costa"/>
        <s v="Júlia Nogueira"/>
        <s v="Luiz Gustavo Cunha"/>
        <s v="Fernando da Costa"/>
        <s v="Caio Martins"/>
        <s v="Levi Vieira"/>
        <s v="Emanuelly Costela"/>
        <s v="Natália da Rosa"/>
        <s v="Gabriela Almeida"/>
        <s v="Ian Lima"/>
        <s v="João Pedro Lopes"/>
        <s v="Rafael Fernandes"/>
        <s v="Gustavo Rezende"/>
        <s v="Thomas Correia"/>
        <s v="Luiz Fernando Aragão"/>
        <s v="João Lucas Lopes"/>
        <s v="Rafael Barbosa"/>
        <s v="Letícia Silva"/>
        <s v="Maria Vitória Almeida"/>
        <s v="Nicolas Cunha"/>
        <s v="João Guilherme Cardoso"/>
        <s v="João Vitor Cavalcanti"/>
        <s v="Vitor Hugo Moraes"/>
        <s v="Natália Campos"/>
        <s v="Lara da Mata"/>
        <s v="Larissa Rezende"/>
        <s v="Noah da Rocha"/>
        <s v="Davi Luiz da Conceição"/>
        <s v="Levi Ramos"/>
        <s v="Joaquim da Conceição"/>
        <s v="Marina Souza"/>
        <s v="Lara da Costa"/>
        <s v="Olivia Costa"/>
        <s v="Bárbara Costela"/>
        <s v="Heitor Pinto"/>
        <s v="Arthur Lopes"/>
        <s v="João Araújo"/>
        <s v="Maria Alice Moreira"/>
        <s v="Heloísa da Cunha"/>
        <s v="Larissa Teixeira"/>
        <s v="Bruna Costa"/>
        <s v="Gabriel Lopes"/>
        <s v="Ana Júlia Peixoto"/>
        <s v="Maria Luiza Cardoso"/>
        <s v="Luigi Pires"/>
        <s v="Igor Pires"/>
        <s v="Caroline Alves"/>
        <s v="Pedro Ferreira"/>
        <s v="Maria Cecília Almeida"/>
        <s v="Maitê das Neves"/>
        <s v="Caio Nogueira"/>
        <s v="Lorenzo Silveira"/>
        <s v="Vitor da Rocha"/>
        <s v="Danilo Nunes"/>
        <s v="Pietro Nunes"/>
        <s v="Matheus Nunes"/>
        <s v="Kamilly Porto"/>
        <s v="Ana Nunes"/>
        <s v="Pedro Paulo Silva"/>
        <s v="Paula Maria"/>
      </sharedItems>
    </cacheField>
    <cacheField name="Matrícula" numFmtId="0">
      <sharedItems containsSemiMixedTypes="0" containsString="0" containsNumber="1" containsInteger="1" minValue="10038" maxValue="75056"/>
    </cacheField>
    <cacheField name="Cargo" numFmtId="0">
      <sharedItems/>
    </cacheField>
    <cacheField name="Setor" numFmtId="0">
      <sharedItems count="37">
        <s v="Ortopedia"/>
        <s v="Laboratório de Anatomia Patológica"/>
        <s v="UTI"/>
        <s v="Tecnologia da Informação"/>
        <s v="Infraestrutura"/>
        <s v="Centro Cirúrgico"/>
        <s v="Imagem da Mulher"/>
        <s v="Cardiologia"/>
        <s v="Clínica Médica"/>
        <s v="Nefrologia - Hemodiálise"/>
        <s v="Psiquiatria"/>
        <s v="Financeiro"/>
        <s v="Reabilitação"/>
        <s v="CME"/>
        <s v="Hospital Dia"/>
        <s v="Farmácia - Clínica"/>
        <s v="Comunicação"/>
        <s v="Controladoria"/>
        <s v="Laboratório de Análises Clínicas"/>
        <s v="Métodos Gráficos"/>
        <s v="Pediatria"/>
        <s v="Farmácia - Abastecimento E Dispensação"/>
        <s v="Diagnóstico por Imagem"/>
        <s v="Oftalmologia"/>
        <s v="Nutrição Clínica"/>
        <s v="Hotelaria"/>
        <s v="Odontologia"/>
        <s v="Contabilidade"/>
        <s v="Reumatologia"/>
        <s v="Apoio Operacional"/>
        <s v="Transporte Interno"/>
        <s v="Obstetrícia"/>
        <s v="Endocrinologia"/>
        <s v="Recursos Humanos"/>
        <s v="Ambulatório"/>
        <s v="Atenção Psicossocial"/>
        <s v="CAPS" u="1"/>
      </sharedItems>
    </cacheField>
    <cacheField name="Unidade" numFmtId="0">
      <sharedItems count="2">
        <s v="Centro"/>
        <s v="Pinheiros"/>
      </sharedItems>
    </cacheField>
    <cacheField name="Risco Principal" numFmtId="0">
      <sharedItems count="4">
        <s v="Biológico"/>
        <s v="Químico"/>
        <s v="Ergonômico"/>
        <s v="Radiação"/>
      </sharedItems>
    </cacheField>
    <cacheField name="Periodicidade" numFmtId="0">
      <sharedItems/>
    </cacheField>
    <cacheField name="Tipo" numFmtId="0">
      <sharedItems/>
    </cacheField>
    <cacheField name="Data do Último Exame" numFmtId="14">
      <sharedItems containsSemiMixedTypes="0" containsNonDate="0" containsDate="1" containsString="0" minDate="2022-01-10T00:00:00" maxDate="2022-12-16T00:00:00" count="44">
        <d v="2022-04-05T00:00:00"/>
        <d v="2022-02-01T00:00:00"/>
        <d v="2022-10-04T00:00:00"/>
        <d v="2022-05-04T00:00:00"/>
        <d v="2022-10-06T00:00:00"/>
        <d v="2022-04-13T00:00:00"/>
        <d v="2022-03-22T00:00:00"/>
        <d v="2022-05-10T00:00:00"/>
        <d v="2022-01-10T00:00:00"/>
        <d v="2022-07-07T00:00:00"/>
        <d v="2022-06-09T00:00:00"/>
        <d v="2022-07-12T00:00:00"/>
        <d v="2022-01-18T00:00:00"/>
        <d v="2022-11-09T00:00:00"/>
        <d v="2022-02-03T00:00:00"/>
        <d v="2022-10-07T00:00:00"/>
        <d v="2022-07-21T00:00:00"/>
        <d v="2022-06-21T00:00:00"/>
        <d v="2022-02-04T00:00:00"/>
        <d v="2022-11-23T00:00:00"/>
        <d v="2022-01-26T00:00:00"/>
        <d v="2022-06-29T00:00:00"/>
        <d v="2022-02-14T00:00:00"/>
        <d v="2022-12-15T00:00:00"/>
        <d v="2022-03-30T00:00:00"/>
        <d v="2022-03-31T00:00:00"/>
        <d v="2022-10-20T00:00:00"/>
        <d v="2022-09-17T00:00:00"/>
        <d v="2022-03-15T00:00:00"/>
        <d v="2022-09-01T00:00:00"/>
        <d v="2022-03-16T00:00:00"/>
        <d v="2022-03-18T00:00:00"/>
        <d v="2022-08-09T00:00:00"/>
        <d v="2022-02-18T00:00:00"/>
        <d v="2022-02-15T00:00:00"/>
        <d v="2022-10-18T00:00:00"/>
        <d v="2022-02-08T00:00:00"/>
        <d v="2022-07-27T00:00:00"/>
        <d v="2022-04-21T00:00:00"/>
        <d v="2022-08-10T00:00:00"/>
        <d v="2022-05-25T00:00:00"/>
        <d v="2022-08-23T00:00:00"/>
        <d v="2022-09-30T00:00:00"/>
        <d v="2022-03-20T00:00:00"/>
      </sharedItems>
      <fieldGroup par="15" base="8">
        <rangePr groupBy="days" startDate="2022-01-10T00:00:00" endDate="2022-12-16T00:00:00"/>
        <groupItems count="368">
          <s v="&lt;10/01/2022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16/12/2022"/>
        </groupItems>
      </fieldGroup>
    </cacheField>
    <cacheField name="Data do Vencimento" numFmtId="14">
      <sharedItems containsSemiMixedTypes="0" containsNonDate="0" containsDate="1" containsString="0" minDate="2022-08-01T00:00:00" maxDate="2023-12-16T00:00:00" count="54">
        <d v="2023-04-05T00:00:00"/>
        <d v="2022-08-01T00:00:00"/>
        <d v="2023-10-04T00:00:00"/>
        <d v="2023-05-04T00:00:00"/>
        <d v="2023-02-01T00:00:00"/>
        <d v="2023-10-06T00:00:00"/>
        <d v="2023-04-13T00:00:00"/>
        <d v="2023-03-22T00:00:00"/>
        <d v="2023-05-10T00:00:00"/>
        <d v="2023-01-10T00:00:00"/>
        <d v="2023-07-07T00:00:00"/>
        <d v="2022-12-09T00:00:00"/>
        <d v="2023-07-12T00:00:00"/>
        <d v="2023-01-18T00:00:00"/>
        <d v="2023-11-09T00:00:00"/>
        <d v="2022-08-03T00:00:00"/>
        <d v="2023-10-07T00:00:00"/>
        <d v="2023-01-21T00:00:00"/>
        <d v="2023-06-21T00:00:00"/>
        <d v="2023-02-04T00:00:00"/>
        <d v="2023-11-23T00:00:00"/>
        <d v="2023-01-26T00:00:00"/>
        <d v="2023-06-09T00:00:00"/>
        <d v="2023-06-29T00:00:00"/>
        <d v="2022-08-14T00:00:00"/>
        <d v="2023-12-15T00:00:00"/>
        <d v="2023-03-30T00:00:00"/>
        <d v="2023-03-31T00:00:00"/>
        <d v="2023-10-20T00:00:00"/>
        <d v="2023-09-17T00:00:00"/>
        <d v="2022-11-04T00:00:00"/>
        <d v="2023-03-15T00:00:00"/>
        <d v="2023-09-01T00:00:00"/>
        <d v="2023-03-16T00:00:00"/>
        <d v="2023-03-18T00:00:00"/>
        <d v="2023-02-14T00:00:00"/>
        <d v="2023-08-09T00:00:00"/>
        <d v="2023-02-18T00:00:00"/>
        <d v="2023-07-21T00:00:00"/>
        <d v="2023-02-15T00:00:00"/>
        <d v="2023-10-18T00:00:00"/>
        <d v="2022-08-08T00:00:00"/>
        <d v="2023-02-08T00:00:00"/>
        <d v="2023-07-27T00:00:00"/>
        <d v="2023-04-21T00:00:00"/>
        <d v="2023-03-17T00:00:00"/>
        <d v="2023-04-20T00:00:00"/>
        <d v="2023-04-04T00:00:00"/>
        <d v="2023-02-10T00:00:00"/>
        <d v="2023-05-25T00:00:00"/>
        <d v="2023-08-23T00:00:00"/>
        <d v="2023-05-23T00:00:00"/>
        <d v="2023-05-09T00:00:00"/>
        <d v="2023-03-20T00:00:00"/>
      </sharedItems>
      <fieldGroup par="19" base="9">
        <rangePr groupBy="months" startDate="2022-08-01T00:00:00" endDate="2023-12-16T00:00:00"/>
        <groupItems count="14">
          <s v="&lt;01/08/2022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6/12/2023"/>
        </groupItems>
      </fieldGroup>
    </cacheField>
    <cacheField name="Mês Ano do Vencimento" numFmtId="164">
      <sharedItems containsSemiMixedTypes="0" containsNonDate="0" containsDate="1" containsString="0" minDate="2022-08-01T00:00:00" maxDate="2023-12-16T00:00:00" count="54">
        <d v="2023-04-05T00:00:00"/>
        <d v="2022-08-01T00:00:00"/>
        <d v="2023-10-04T00:00:00"/>
        <d v="2023-05-04T00:00:00"/>
        <d v="2023-02-01T00:00:00"/>
        <d v="2023-10-06T00:00:00"/>
        <d v="2023-04-13T00:00:00"/>
        <d v="2023-03-22T00:00:00"/>
        <d v="2023-05-10T00:00:00"/>
        <d v="2023-01-10T00:00:00"/>
        <d v="2023-07-07T00:00:00"/>
        <d v="2022-12-09T00:00:00"/>
        <d v="2023-07-12T00:00:00"/>
        <d v="2023-01-18T00:00:00"/>
        <d v="2023-11-09T00:00:00"/>
        <d v="2022-08-03T00:00:00"/>
        <d v="2023-10-07T00:00:00"/>
        <d v="2023-01-21T00:00:00"/>
        <d v="2023-06-21T00:00:00"/>
        <d v="2023-02-04T00:00:00"/>
        <d v="2023-11-23T00:00:00"/>
        <d v="2023-01-26T00:00:00"/>
        <d v="2023-06-09T00:00:00"/>
        <d v="2023-06-29T00:00:00"/>
        <d v="2022-08-14T00:00:00"/>
        <d v="2023-12-15T00:00:00"/>
        <d v="2023-03-30T00:00:00"/>
        <d v="2023-03-31T00:00:00"/>
        <d v="2023-10-20T00:00:00"/>
        <d v="2023-09-17T00:00:00"/>
        <d v="2022-11-04T00:00:00"/>
        <d v="2023-03-15T00:00:00"/>
        <d v="2023-09-01T00:00:00"/>
        <d v="2023-03-16T00:00:00"/>
        <d v="2023-03-18T00:00:00"/>
        <d v="2023-02-14T00:00:00"/>
        <d v="2023-08-09T00:00:00"/>
        <d v="2023-02-18T00:00:00"/>
        <d v="2023-07-21T00:00:00"/>
        <d v="2023-02-15T00:00:00"/>
        <d v="2023-10-18T00:00:00"/>
        <d v="2022-08-08T00:00:00"/>
        <d v="2023-02-08T00:00:00"/>
        <d v="2023-07-27T00:00:00"/>
        <d v="2023-04-21T00:00:00"/>
        <d v="2023-03-17T00:00:00"/>
        <d v="2023-04-20T00:00:00"/>
        <d v="2023-04-04T00:00:00"/>
        <d v="2023-02-10T00:00:00"/>
        <d v="2023-05-25T00:00:00"/>
        <d v="2023-08-23T00:00:00"/>
        <d v="2023-05-23T00:00:00"/>
        <d v="2023-05-09T00:00:00"/>
        <d v="2023-03-20T00:00:00"/>
      </sharedItems>
      <fieldGroup par="17" base="10">
        <rangePr groupBy="months" startDate="2022-08-01T00:00:00" endDate="2023-12-16T00:00:00"/>
        <groupItems count="14">
          <s v="&lt;01/08/2022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6/12/2023"/>
        </groupItems>
      </fieldGroup>
    </cacheField>
    <cacheField name="Dias Vencido" numFmtId="0">
      <sharedItems containsSemiMixedTypes="0" containsString="0" containsNumber="1" containsInteger="1" minValue="-239" maxValue="262"/>
    </cacheField>
    <cacheField name="Status" numFmtId="0">
      <sharedItems count="5">
        <s v="Funcionário desligado"/>
        <s v="Vencido"/>
        <s v="Válido"/>
        <s v="Menos de 30 dias para vencer"/>
        <s v="Preencher dados faltantes" u="1"/>
      </sharedItems>
    </cacheField>
    <cacheField name="Apto/ Não Apto" numFmtId="0">
      <sharedItems/>
    </cacheField>
    <cacheField name="Agendamento" numFmtId="14">
      <sharedItems containsDate="1" containsBlank="1" containsMixedTypes="1" minDate="2023-02-08T00:00:00" maxDate="2023-02-17T00:00:00"/>
    </cacheField>
    <cacheField name="Meses" numFmtId="0" databaseField="0">
      <fieldGroup base="8">
        <rangePr groupBy="months" startDate="2022-01-10T00:00:00" endDate="2022-12-16T00:00:00"/>
        <groupItems count="14">
          <s v="&lt;10/01/2022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6/12/2022"/>
        </groupItems>
      </fieldGroup>
    </cacheField>
    <cacheField name="Trimestres" numFmtId="0" databaseField="0">
      <fieldGroup base="10">
        <rangePr groupBy="quarters" startDate="2022-08-01T00:00:00" endDate="2023-12-16T00:00:00"/>
        <groupItems count="6">
          <s v="&lt;01/08/2022"/>
          <s v="Trim1"/>
          <s v="Trim2"/>
          <s v="Trim3"/>
          <s v="Trim4"/>
          <s v="&gt;16/12/2023"/>
        </groupItems>
      </fieldGroup>
    </cacheField>
    <cacheField name="Anos" numFmtId="0" databaseField="0">
      <fieldGroup base="10">
        <rangePr groupBy="years" startDate="2022-08-01T00:00:00" endDate="2023-12-16T00:00:00"/>
        <groupItems count="4">
          <s v="&lt;01/08/2022"/>
          <s v="2022"/>
          <s v="2023"/>
          <s v="&gt;16/12/2023"/>
        </groupItems>
      </fieldGroup>
    </cacheField>
    <cacheField name="Trimestres2" numFmtId="0" databaseField="0">
      <fieldGroup base="9">
        <rangePr groupBy="quarters" startDate="2022-08-01T00:00:00" endDate="2023-12-16T00:00:00"/>
        <groupItems count="6">
          <s v="&lt;01/08/2022"/>
          <s v="Trim1"/>
          <s v="Trim2"/>
          <s v="Trim3"/>
          <s v="Trim4"/>
          <s v="&gt;16/12/2023"/>
        </groupItems>
      </fieldGroup>
    </cacheField>
    <cacheField name="Anos2" numFmtId="0" databaseField="0">
      <fieldGroup base="9">
        <rangePr groupBy="years" startDate="2022-08-01T00:00:00" endDate="2023-12-16T00:00:00"/>
        <groupItems count="4">
          <s v="&lt;01/08/2022"/>
          <s v="2022"/>
          <s v="2023"/>
          <s v="&gt;16/12/2023"/>
        </groupItems>
      </fieldGroup>
    </cacheField>
  </cacheFields>
  <extLst>
    <ext xmlns:x14="http://schemas.microsoft.com/office/spreadsheetml/2009/9/main" uri="{725AE2AE-9491-48be-B2B4-4EB974FC3084}">
      <x14:pivotCacheDefinition pivotCacheId="84569333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">
  <r>
    <x v="0"/>
    <n v="23234"/>
    <s v="Médico - Ortopedia E Traumatologia"/>
    <x v="0"/>
    <x v="0"/>
    <x v="0"/>
    <s v="Anual"/>
    <s v="Demissional"/>
    <x v="0"/>
    <x v="0"/>
    <x v="0"/>
    <n v="8"/>
    <x v="0"/>
    <s v="Apto"/>
    <m/>
  </r>
  <r>
    <x v="1"/>
    <n v="14852"/>
    <s v="Técnico em Necropsia"/>
    <x v="1"/>
    <x v="1"/>
    <x v="1"/>
    <s v="Semestral"/>
    <s v="Periódico"/>
    <x v="1"/>
    <x v="1"/>
    <x v="1"/>
    <n v="-239"/>
    <x v="1"/>
    <s v="Apto"/>
    <s v="Pendente"/>
  </r>
  <r>
    <x v="2"/>
    <n v="16549"/>
    <s v="Médico - Medicina Intensiva"/>
    <x v="2"/>
    <x v="1"/>
    <x v="0"/>
    <s v="Anual"/>
    <s v="Admissional"/>
    <x v="2"/>
    <x v="2"/>
    <x v="2"/>
    <n v="190"/>
    <x v="2"/>
    <s v="Apto"/>
    <m/>
  </r>
  <r>
    <x v="3"/>
    <n v="20890"/>
    <s v="Técnico em Informática"/>
    <x v="3"/>
    <x v="0"/>
    <x v="2"/>
    <s v="Anual"/>
    <s v="Periódico"/>
    <x v="3"/>
    <x v="3"/>
    <x v="3"/>
    <n v="37"/>
    <x v="2"/>
    <s v="Apto"/>
    <m/>
  </r>
  <r>
    <x v="4"/>
    <n v="18960"/>
    <s v="Engenheiro Civil"/>
    <x v="4"/>
    <x v="1"/>
    <x v="0"/>
    <s v="Anual"/>
    <s v="Periódico"/>
    <x v="1"/>
    <x v="4"/>
    <x v="4"/>
    <n v="-55"/>
    <x v="1"/>
    <s v="Apto"/>
    <s v="Pendente"/>
  </r>
  <r>
    <x v="5"/>
    <n v="14775"/>
    <s v="Técnico em Enfermagem"/>
    <x v="5"/>
    <x v="1"/>
    <x v="0"/>
    <s v="Anual"/>
    <s v="Periódico"/>
    <x v="4"/>
    <x v="5"/>
    <x v="5"/>
    <n v="192"/>
    <x v="2"/>
    <s v="Apto"/>
    <m/>
  </r>
  <r>
    <x v="6"/>
    <n v="10431"/>
    <s v="Enfermeiro - Saúde Da Mulher - Obstetrícia"/>
    <x v="5"/>
    <x v="1"/>
    <x v="0"/>
    <s v="Anual"/>
    <s v="Periódico"/>
    <x v="5"/>
    <x v="6"/>
    <x v="6"/>
    <n v="16"/>
    <x v="3"/>
    <s v="Apto"/>
    <m/>
  </r>
  <r>
    <x v="7"/>
    <n v="22376"/>
    <s v="Médico - Hematologia E Hemoterapia"/>
    <x v="0"/>
    <x v="0"/>
    <x v="0"/>
    <s v="Anual"/>
    <s v="Periódico"/>
    <x v="6"/>
    <x v="7"/>
    <x v="7"/>
    <n v="-6"/>
    <x v="1"/>
    <s v="Apto"/>
    <m/>
  </r>
  <r>
    <x v="8"/>
    <n v="13711"/>
    <s v="Técnico em Enfermagem"/>
    <x v="5"/>
    <x v="1"/>
    <x v="0"/>
    <s v="Anual"/>
    <s v="Periódico"/>
    <x v="2"/>
    <x v="2"/>
    <x v="2"/>
    <n v="190"/>
    <x v="2"/>
    <s v="Apto"/>
    <m/>
  </r>
  <r>
    <x v="9"/>
    <n v="14313"/>
    <s v="Assistente Administrativo"/>
    <x v="6"/>
    <x v="0"/>
    <x v="0"/>
    <s v="Anual"/>
    <s v="Periódico"/>
    <x v="7"/>
    <x v="8"/>
    <x v="8"/>
    <n v="43"/>
    <x v="2"/>
    <s v="Apto"/>
    <m/>
  </r>
  <r>
    <x v="10"/>
    <n v="12601"/>
    <s v="Técnico em Enfermagem"/>
    <x v="7"/>
    <x v="0"/>
    <x v="0"/>
    <s v="Anual"/>
    <s v="Periódico"/>
    <x v="8"/>
    <x v="9"/>
    <x v="9"/>
    <n v="-77"/>
    <x v="1"/>
    <s v="Apto"/>
    <s v="Pendente"/>
  </r>
  <r>
    <x v="11"/>
    <n v="21388"/>
    <s v="Técnico em Enfermagem"/>
    <x v="8"/>
    <x v="1"/>
    <x v="0"/>
    <s v="Anual"/>
    <s v="Periódico"/>
    <x v="9"/>
    <x v="10"/>
    <x v="10"/>
    <n v="101"/>
    <x v="2"/>
    <s v="Apto"/>
    <m/>
  </r>
  <r>
    <x v="12"/>
    <n v="16554"/>
    <s v="Médico - Ortopedia E Traumatologia"/>
    <x v="0"/>
    <x v="0"/>
    <x v="3"/>
    <s v="Semestral"/>
    <s v="Demissional"/>
    <x v="10"/>
    <x v="11"/>
    <x v="11"/>
    <n v="-109"/>
    <x v="0"/>
    <s v="Apto"/>
    <s v="Pendente"/>
  </r>
  <r>
    <x v="13"/>
    <n v="22126"/>
    <s v="Médico - Nefrologia"/>
    <x v="9"/>
    <x v="0"/>
    <x v="0"/>
    <s v="Anual"/>
    <s v="Mudança de Função"/>
    <x v="4"/>
    <x v="5"/>
    <x v="5"/>
    <n v="192"/>
    <x v="2"/>
    <s v="Apto"/>
    <m/>
  </r>
  <r>
    <x v="14"/>
    <n v="15874"/>
    <s v="Enfermeiro - Saúde Mental"/>
    <x v="10"/>
    <x v="0"/>
    <x v="0"/>
    <s v="Anual"/>
    <s v="Periódico"/>
    <x v="1"/>
    <x v="4"/>
    <x v="4"/>
    <n v="-55"/>
    <x v="1"/>
    <s v="Apto"/>
    <d v="2023-02-13T00:00:00"/>
  </r>
  <r>
    <x v="15"/>
    <n v="18025"/>
    <s v="Técnico em Enfermagem"/>
    <x v="9"/>
    <x v="0"/>
    <x v="0"/>
    <s v="Anual"/>
    <s v="Periódico"/>
    <x v="7"/>
    <x v="8"/>
    <x v="8"/>
    <n v="43"/>
    <x v="2"/>
    <s v="Apto"/>
    <m/>
  </r>
  <r>
    <x v="16"/>
    <n v="17276"/>
    <s v="Analista Administrativo"/>
    <x v="11"/>
    <x v="1"/>
    <x v="2"/>
    <s v="Anual"/>
    <s v="Periódico"/>
    <x v="11"/>
    <x v="12"/>
    <x v="12"/>
    <n v="106"/>
    <x v="2"/>
    <s v="Apto"/>
    <m/>
  </r>
  <r>
    <x v="17"/>
    <n v="20193"/>
    <s v="Assistente Administrativo"/>
    <x v="11"/>
    <x v="1"/>
    <x v="2"/>
    <s v="Anual"/>
    <s v="Periódico"/>
    <x v="3"/>
    <x v="3"/>
    <x v="3"/>
    <n v="37"/>
    <x v="2"/>
    <s v="Apto"/>
    <m/>
  </r>
  <r>
    <x v="18"/>
    <n v="24229"/>
    <s v="Fisioterapeuta"/>
    <x v="12"/>
    <x v="0"/>
    <x v="0"/>
    <s v="Anual"/>
    <s v="Periódico"/>
    <x v="12"/>
    <x v="13"/>
    <x v="13"/>
    <n v="-69"/>
    <x v="1"/>
    <s v="Apto"/>
    <s v="Pendente"/>
  </r>
  <r>
    <x v="19"/>
    <n v="20992"/>
    <s v="Técnico em Enfermagem"/>
    <x v="13"/>
    <x v="1"/>
    <x v="0"/>
    <s v="Anual"/>
    <s v="Periódico"/>
    <x v="13"/>
    <x v="14"/>
    <x v="14"/>
    <n v="226"/>
    <x v="2"/>
    <s v="Apto"/>
    <m/>
  </r>
  <r>
    <x v="20"/>
    <n v="24702"/>
    <s v="Técnico em Enfermagem"/>
    <x v="8"/>
    <x v="1"/>
    <x v="0"/>
    <s v="Anual"/>
    <s v="Mudança de Função"/>
    <x v="9"/>
    <x v="10"/>
    <x v="10"/>
    <n v="101"/>
    <x v="2"/>
    <s v="Apto"/>
    <m/>
  </r>
  <r>
    <x v="21"/>
    <n v="22682"/>
    <s v="Técnico em Enfermagem"/>
    <x v="0"/>
    <x v="0"/>
    <x v="0"/>
    <s v="Anual"/>
    <s v="Periódico"/>
    <x v="6"/>
    <x v="7"/>
    <x v="7"/>
    <n v="-6"/>
    <x v="1"/>
    <s v="Apto"/>
    <m/>
  </r>
  <r>
    <x v="22"/>
    <n v="19079"/>
    <s v="Técnico em Enfermagem"/>
    <x v="0"/>
    <x v="0"/>
    <x v="3"/>
    <s v="Semestral"/>
    <s v="Periódico"/>
    <x v="14"/>
    <x v="15"/>
    <x v="15"/>
    <n v="-237"/>
    <x v="1"/>
    <s v="Apto"/>
    <s v="Pendente"/>
  </r>
  <r>
    <x v="23"/>
    <n v="23454"/>
    <s v="Médico - Ginecologia E Obstetrícia"/>
    <x v="14"/>
    <x v="0"/>
    <x v="0"/>
    <s v="Anual"/>
    <s v="Mudança de Função"/>
    <x v="15"/>
    <x v="16"/>
    <x v="16"/>
    <n v="193"/>
    <x v="2"/>
    <s v="Apto"/>
    <m/>
  </r>
  <r>
    <x v="24"/>
    <n v="16624"/>
    <s v="Técnico em Enfermagem"/>
    <x v="5"/>
    <x v="1"/>
    <x v="0"/>
    <s v="Anual"/>
    <s v="Periódico"/>
    <x v="7"/>
    <x v="8"/>
    <x v="8"/>
    <n v="43"/>
    <x v="2"/>
    <s v="Apto"/>
    <m/>
  </r>
  <r>
    <x v="25"/>
    <n v="15902"/>
    <s v="Técnico em Farmácia"/>
    <x v="15"/>
    <x v="1"/>
    <x v="1"/>
    <s v="Semestral"/>
    <s v="Periódico"/>
    <x v="16"/>
    <x v="17"/>
    <x v="17"/>
    <n v="-66"/>
    <x v="1"/>
    <s v="Apto"/>
    <s v="Pendente"/>
  </r>
  <r>
    <x v="26"/>
    <n v="14551"/>
    <s v="Jornalista"/>
    <x v="16"/>
    <x v="0"/>
    <x v="2"/>
    <s v="Anual"/>
    <s v="Periódico"/>
    <x v="3"/>
    <x v="3"/>
    <x v="3"/>
    <n v="37"/>
    <x v="2"/>
    <s v="Apto"/>
    <m/>
  </r>
  <r>
    <x v="27"/>
    <n v="20207"/>
    <s v="Médico - Cirurgia Geral"/>
    <x v="5"/>
    <x v="1"/>
    <x v="0"/>
    <s v="Anual"/>
    <s v="Periódico"/>
    <x v="17"/>
    <x v="18"/>
    <x v="18"/>
    <n v="85"/>
    <x v="2"/>
    <s v="Apto"/>
    <m/>
  </r>
  <r>
    <x v="28"/>
    <n v="17826"/>
    <s v="Fisioterapeuta"/>
    <x v="12"/>
    <x v="0"/>
    <x v="0"/>
    <s v="Anual"/>
    <s v="Periódico"/>
    <x v="18"/>
    <x v="19"/>
    <x v="19"/>
    <n v="-52"/>
    <x v="1"/>
    <s v="Apto"/>
    <d v="2023-02-15T00:00:00"/>
  </r>
  <r>
    <x v="29"/>
    <n v="12840"/>
    <s v="Técnico em Enfermagem"/>
    <x v="2"/>
    <x v="1"/>
    <x v="0"/>
    <s v="Anual"/>
    <s v="Periódico"/>
    <x v="19"/>
    <x v="20"/>
    <x v="20"/>
    <n v="240"/>
    <x v="2"/>
    <s v="Apto"/>
    <m/>
  </r>
  <r>
    <x v="30"/>
    <n v="13379"/>
    <s v="Técnico em Enfermagem"/>
    <x v="2"/>
    <x v="1"/>
    <x v="0"/>
    <s v="Anual"/>
    <s v="Periódico"/>
    <x v="13"/>
    <x v="14"/>
    <x v="14"/>
    <n v="226"/>
    <x v="2"/>
    <s v="Apto"/>
    <m/>
  </r>
  <r>
    <x v="31"/>
    <n v="16056"/>
    <s v="Técnico em Enfermagem"/>
    <x v="8"/>
    <x v="1"/>
    <x v="0"/>
    <s v="Anual"/>
    <s v="Periódico"/>
    <x v="20"/>
    <x v="21"/>
    <x v="21"/>
    <n v="-61"/>
    <x v="1"/>
    <s v="Apto"/>
    <s v="Pendente"/>
  </r>
  <r>
    <x v="32"/>
    <n v="22852"/>
    <s v="Administrador"/>
    <x v="17"/>
    <x v="1"/>
    <x v="2"/>
    <s v="Anual"/>
    <s v="Periódico"/>
    <x v="10"/>
    <x v="22"/>
    <x v="22"/>
    <n v="73"/>
    <x v="2"/>
    <s v="Apto"/>
    <m/>
  </r>
  <r>
    <x v="33"/>
    <n v="10038"/>
    <s v="Farmacêutico"/>
    <x v="18"/>
    <x v="1"/>
    <x v="0"/>
    <s v="Anual"/>
    <s v="Periódico"/>
    <x v="21"/>
    <x v="23"/>
    <x v="23"/>
    <n v="93"/>
    <x v="2"/>
    <s v="Apto"/>
    <m/>
  </r>
  <r>
    <x v="34"/>
    <n v="19925"/>
    <s v="Médico - Otorrinolaringologia"/>
    <x v="19"/>
    <x v="0"/>
    <x v="0"/>
    <s v="Anual"/>
    <s v="Periódico"/>
    <x v="3"/>
    <x v="3"/>
    <x v="3"/>
    <n v="37"/>
    <x v="2"/>
    <s v="Apto"/>
    <m/>
  </r>
  <r>
    <x v="35"/>
    <n v="23691"/>
    <s v="Médico - Anestesiologia"/>
    <x v="5"/>
    <x v="1"/>
    <x v="3"/>
    <s v="Semestral"/>
    <s v="Periódico"/>
    <x v="22"/>
    <x v="24"/>
    <x v="24"/>
    <n v="-226"/>
    <x v="1"/>
    <s v="Apto"/>
    <s v="Pendente"/>
  </r>
  <r>
    <x v="36"/>
    <n v="23196"/>
    <s v="Médico - Psiquiatria"/>
    <x v="10"/>
    <x v="0"/>
    <x v="0"/>
    <s v="Anual"/>
    <s v="Retorno ao Trabalho"/>
    <x v="23"/>
    <x v="25"/>
    <x v="25"/>
    <n v="262"/>
    <x v="2"/>
    <s v="Apto"/>
    <m/>
  </r>
  <r>
    <x v="37"/>
    <n v="17661"/>
    <s v="Médico - Pediatria"/>
    <x v="20"/>
    <x v="0"/>
    <x v="0"/>
    <s v="Anual"/>
    <s v="Periódico"/>
    <x v="10"/>
    <x v="22"/>
    <x v="22"/>
    <n v="73"/>
    <x v="2"/>
    <s v="Apto"/>
    <m/>
  </r>
  <r>
    <x v="38"/>
    <n v="23162"/>
    <s v="Farmacêutico"/>
    <x v="21"/>
    <x v="1"/>
    <x v="0"/>
    <s v="Anual"/>
    <s v="Periódico"/>
    <x v="2"/>
    <x v="2"/>
    <x v="2"/>
    <n v="190"/>
    <x v="2"/>
    <s v="Apto"/>
    <m/>
  </r>
  <r>
    <x v="39"/>
    <n v="11978"/>
    <s v="Enfermeiro - Assistencial"/>
    <x v="13"/>
    <x v="1"/>
    <x v="0"/>
    <s v="Anual"/>
    <s v="Periódico"/>
    <x v="4"/>
    <x v="5"/>
    <x v="5"/>
    <n v="192"/>
    <x v="2"/>
    <s v="Apto"/>
    <m/>
  </r>
  <r>
    <x v="40"/>
    <n v="10177"/>
    <s v="Técnico em Enfermagem"/>
    <x v="5"/>
    <x v="1"/>
    <x v="0"/>
    <s v="Anual"/>
    <s v="Periódico"/>
    <x v="5"/>
    <x v="6"/>
    <x v="6"/>
    <n v="16"/>
    <x v="3"/>
    <s v="Apto"/>
    <m/>
  </r>
  <r>
    <x v="41"/>
    <n v="14041"/>
    <s v="Técnico em Enfermagem"/>
    <x v="9"/>
    <x v="0"/>
    <x v="0"/>
    <s v="Anual"/>
    <s v="Periódico"/>
    <x v="19"/>
    <x v="20"/>
    <x v="20"/>
    <n v="240"/>
    <x v="2"/>
    <s v="Apto"/>
    <m/>
  </r>
  <r>
    <x v="42"/>
    <n v="15027"/>
    <s v="Técnico em Enfermagem"/>
    <x v="20"/>
    <x v="0"/>
    <x v="0"/>
    <s v="Anual"/>
    <s v="Retorno ao Trabalho"/>
    <x v="24"/>
    <x v="26"/>
    <x v="26"/>
    <n v="2"/>
    <x v="3"/>
    <s v="Apto"/>
    <m/>
  </r>
  <r>
    <x v="43"/>
    <n v="17200"/>
    <s v="Técnico em Enfermagem"/>
    <x v="8"/>
    <x v="1"/>
    <x v="0"/>
    <s v="Anual"/>
    <s v="Periódico"/>
    <x v="25"/>
    <x v="27"/>
    <x v="27"/>
    <n v="3"/>
    <x v="3"/>
    <s v="Apto"/>
    <m/>
  </r>
  <r>
    <x v="44"/>
    <n v="12717"/>
    <s v="Técnico em Enfermagem"/>
    <x v="13"/>
    <x v="1"/>
    <x v="0"/>
    <s v="Anual"/>
    <s v="Periódico"/>
    <x v="9"/>
    <x v="10"/>
    <x v="10"/>
    <n v="101"/>
    <x v="2"/>
    <s v="Apto"/>
    <m/>
  </r>
  <r>
    <x v="45"/>
    <n v="22517"/>
    <s v="Técnico em Farmácia"/>
    <x v="21"/>
    <x v="1"/>
    <x v="0"/>
    <s v="Anual"/>
    <s v="Periódico"/>
    <x v="26"/>
    <x v="28"/>
    <x v="28"/>
    <n v="206"/>
    <x v="2"/>
    <s v="Apto"/>
    <m/>
  </r>
  <r>
    <x v="46"/>
    <n v="15233"/>
    <s v="Técnico em Enfermagem"/>
    <x v="14"/>
    <x v="0"/>
    <x v="0"/>
    <s v="Anual"/>
    <s v="Periódico"/>
    <x v="27"/>
    <x v="29"/>
    <x v="29"/>
    <n v="173"/>
    <x v="2"/>
    <s v="Apto"/>
    <m/>
  </r>
  <r>
    <x v="47"/>
    <n v="15482"/>
    <s v="Técnico em Radiologia"/>
    <x v="22"/>
    <x v="1"/>
    <x v="3"/>
    <s v="Semestral"/>
    <s v="Periódico"/>
    <x v="3"/>
    <x v="30"/>
    <x v="30"/>
    <n v="-144"/>
    <x v="1"/>
    <s v="Apto"/>
    <s v="Pendente"/>
  </r>
  <r>
    <x v="48"/>
    <n v="13767"/>
    <s v="Técnico em Enfermagem"/>
    <x v="5"/>
    <x v="1"/>
    <x v="0"/>
    <s v="Anual"/>
    <s v="Periódico"/>
    <x v="28"/>
    <x v="31"/>
    <x v="31"/>
    <n v="-13"/>
    <x v="1"/>
    <s v="Apto"/>
    <m/>
  </r>
  <r>
    <x v="49"/>
    <n v="21944"/>
    <s v="Fisioterapeuta"/>
    <x v="12"/>
    <x v="0"/>
    <x v="0"/>
    <s v="Anual"/>
    <s v="Periódico"/>
    <x v="26"/>
    <x v="28"/>
    <x v="28"/>
    <n v="206"/>
    <x v="2"/>
    <s v="Apto"/>
    <m/>
  </r>
  <r>
    <x v="50"/>
    <n v="16828"/>
    <s v="Médico - Ginecologia E Obstetrícia"/>
    <x v="14"/>
    <x v="0"/>
    <x v="0"/>
    <s v="Anual"/>
    <s v="Periódico"/>
    <x v="2"/>
    <x v="2"/>
    <x v="2"/>
    <n v="190"/>
    <x v="2"/>
    <s v="Apto"/>
    <m/>
  </r>
  <r>
    <x v="51"/>
    <n v="11314"/>
    <s v="Técnico em Enfermagem"/>
    <x v="5"/>
    <x v="1"/>
    <x v="0"/>
    <s v="Anual"/>
    <s v="Periódico"/>
    <x v="29"/>
    <x v="32"/>
    <x v="32"/>
    <n v="157"/>
    <x v="2"/>
    <s v="Apto"/>
    <m/>
  </r>
  <r>
    <x v="52"/>
    <n v="17788"/>
    <s v="Enfermeiro - Saúde Da Criança E Do Adolescente - Neonatologia"/>
    <x v="20"/>
    <x v="0"/>
    <x v="0"/>
    <s v="Anual"/>
    <s v="Mudança de Função"/>
    <x v="30"/>
    <x v="33"/>
    <x v="33"/>
    <n v="-12"/>
    <x v="1"/>
    <s v="Apto"/>
    <m/>
  </r>
  <r>
    <x v="53"/>
    <n v="23044"/>
    <s v="Assistente Administrativo"/>
    <x v="3"/>
    <x v="0"/>
    <x v="2"/>
    <s v="Anual"/>
    <s v="Periódico"/>
    <x v="31"/>
    <x v="34"/>
    <x v="34"/>
    <n v="-10"/>
    <x v="1"/>
    <s v="Apto"/>
    <m/>
  </r>
  <r>
    <x v="54"/>
    <n v="15218"/>
    <s v="Médico - Oftalmologia"/>
    <x v="23"/>
    <x v="0"/>
    <x v="0"/>
    <s v="Anual"/>
    <s v="Periódico"/>
    <x v="22"/>
    <x v="35"/>
    <x v="35"/>
    <n v="-42"/>
    <x v="1"/>
    <s v="Apto"/>
    <d v="2023-02-15T00:00:00"/>
  </r>
  <r>
    <x v="55"/>
    <n v="17963"/>
    <s v="Nutricionista"/>
    <x v="24"/>
    <x v="1"/>
    <x v="0"/>
    <s v="Anual"/>
    <s v="Periódico"/>
    <x v="32"/>
    <x v="36"/>
    <x v="36"/>
    <n v="134"/>
    <x v="2"/>
    <s v="Apto"/>
    <m/>
  </r>
  <r>
    <x v="56"/>
    <n v="18021"/>
    <s v="Enfermeiro - Vigilância"/>
    <x v="25"/>
    <x v="0"/>
    <x v="0"/>
    <s v="Anual"/>
    <s v="Periódico"/>
    <x v="32"/>
    <x v="36"/>
    <x v="36"/>
    <n v="134"/>
    <x v="2"/>
    <s v="Apto"/>
    <m/>
  </r>
  <r>
    <x v="57"/>
    <n v="15438"/>
    <s v="Cirurgião Dentista"/>
    <x v="26"/>
    <x v="1"/>
    <x v="0"/>
    <s v="Anual"/>
    <s v="Periódico"/>
    <x v="23"/>
    <x v="25"/>
    <x v="25"/>
    <n v="262"/>
    <x v="2"/>
    <s v="Apto"/>
    <m/>
  </r>
  <r>
    <x v="58"/>
    <n v="16913"/>
    <s v="Técnico em Contabilidade"/>
    <x v="27"/>
    <x v="1"/>
    <x v="2"/>
    <s v="Anual"/>
    <s v="Periódico"/>
    <x v="32"/>
    <x v="36"/>
    <x v="36"/>
    <n v="134"/>
    <x v="2"/>
    <s v="Apto"/>
    <m/>
  </r>
  <r>
    <x v="59"/>
    <n v="13850"/>
    <s v="Médico - Reumatologia"/>
    <x v="28"/>
    <x v="1"/>
    <x v="0"/>
    <s v="Anual"/>
    <s v="Periódico"/>
    <x v="17"/>
    <x v="18"/>
    <x v="18"/>
    <n v="85"/>
    <x v="2"/>
    <s v="Apto"/>
    <m/>
  </r>
  <r>
    <x v="60"/>
    <n v="24167"/>
    <s v="Técnico em Enfermagem"/>
    <x v="5"/>
    <x v="1"/>
    <x v="0"/>
    <s v="Anual"/>
    <s v="Periódico"/>
    <x v="33"/>
    <x v="37"/>
    <x v="37"/>
    <n v="-38"/>
    <x v="1"/>
    <s v="Apto"/>
    <d v="2023-02-13T00:00:00"/>
  </r>
  <r>
    <x v="61"/>
    <n v="22587"/>
    <s v="Técnico em Enfermagem"/>
    <x v="5"/>
    <x v="1"/>
    <x v="0"/>
    <s v="Anual"/>
    <s v="Periódico"/>
    <x v="16"/>
    <x v="38"/>
    <x v="38"/>
    <n v="115"/>
    <x v="2"/>
    <s v="Apto"/>
    <m/>
  </r>
  <r>
    <x v="62"/>
    <n v="12425"/>
    <s v="Técnico em Enfermagem"/>
    <x v="5"/>
    <x v="1"/>
    <x v="0"/>
    <s v="Anual"/>
    <s v="Periódico"/>
    <x v="27"/>
    <x v="29"/>
    <x v="29"/>
    <n v="173"/>
    <x v="2"/>
    <s v="Apto"/>
    <m/>
  </r>
  <r>
    <x v="63"/>
    <n v="12036"/>
    <s v="Técnico em Enfermagem"/>
    <x v="2"/>
    <x v="1"/>
    <x v="0"/>
    <s v="Anual"/>
    <s v="Periódico"/>
    <x v="34"/>
    <x v="39"/>
    <x v="39"/>
    <n v="-41"/>
    <x v="1"/>
    <s v="Apto"/>
    <d v="2023-02-13T00:00:00"/>
  </r>
  <r>
    <x v="64"/>
    <n v="21478"/>
    <s v="Assistente Administrativo"/>
    <x v="29"/>
    <x v="0"/>
    <x v="2"/>
    <s v="Anual"/>
    <s v="Mudança de Função"/>
    <x v="31"/>
    <x v="34"/>
    <x v="34"/>
    <n v="-10"/>
    <x v="1"/>
    <s v="Apto"/>
    <m/>
  </r>
  <r>
    <x v="65"/>
    <n v="13693"/>
    <s v="Técnico em Enfermagem"/>
    <x v="30"/>
    <x v="1"/>
    <x v="0"/>
    <s v="Anual"/>
    <s v="Periódico"/>
    <x v="4"/>
    <x v="5"/>
    <x v="5"/>
    <n v="192"/>
    <x v="2"/>
    <s v="Apto"/>
    <m/>
  </r>
  <r>
    <x v="66"/>
    <n v="13996"/>
    <s v="Técnico em Enfermagem"/>
    <x v="21"/>
    <x v="1"/>
    <x v="0"/>
    <s v="Anual"/>
    <s v="Mudança de Função"/>
    <x v="7"/>
    <x v="8"/>
    <x v="8"/>
    <n v="43"/>
    <x v="2"/>
    <s v="Apto"/>
    <m/>
  </r>
  <r>
    <x v="67"/>
    <n v="10314"/>
    <s v="Técnico em Enfermagem"/>
    <x v="21"/>
    <x v="1"/>
    <x v="0"/>
    <s v="Anual"/>
    <s v="Periódico"/>
    <x v="35"/>
    <x v="40"/>
    <x v="40"/>
    <n v="204"/>
    <x v="2"/>
    <s v="Apto"/>
    <m/>
  </r>
  <r>
    <x v="68"/>
    <n v="11837"/>
    <s v="Técnico em Enfermagem"/>
    <x v="5"/>
    <x v="1"/>
    <x v="0"/>
    <s v="Anual"/>
    <s v="Periódico"/>
    <x v="26"/>
    <x v="28"/>
    <x v="28"/>
    <n v="206"/>
    <x v="2"/>
    <s v="Apto"/>
    <m/>
  </r>
  <r>
    <x v="69"/>
    <n v="19194"/>
    <s v="Contador"/>
    <x v="17"/>
    <x v="1"/>
    <x v="2"/>
    <s v="Anual"/>
    <s v="Periódico"/>
    <x v="16"/>
    <x v="38"/>
    <x v="38"/>
    <n v="115"/>
    <x v="2"/>
    <s v="Apto"/>
    <m/>
  </r>
  <r>
    <x v="70"/>
    <n v="20823"/>
    <s v="Médico - Anestesiologia"/>
    <x v="5"/>
    <x v="1"/>
    <x v="3"/>
    <s v="Semestral"/>
    <s v="Periódico"/>
    <x v="36"/>
    <x v="41"/>
    <x v="41"/>
    <n v="-232"/>
    <x v="1"/>
    <s v="Apto"/>
    <s v="Pendente"/>
  </r>
  <r>
    <x v="71"/>
    <n v="21504"/>
    <s v="Enfermeiro - Saúde Mental"/>
    <x v="10"/>
    <x v="0"/>
    <x v="0"/>
    <s v="Anual"/>
    <s v="Periódico"/>
    <x v="29"/>
    <x v="32"/>
    <x v="32"/>
    <n v="157"/>
    <x v="2"/>
    <s v="Apto"/>
    <m/>
  </r>
  <r>
    <x v="72"/>
    <n v="22095"/>
    <s v="Enfermeiro - Saúde Da Mulher - Obstetrícia"/>
    <x v="31"/>
    <x v="0"/>
    <x v="0"/>
    <s v="Anual"/>
    <s v="Periódico"/>
    <x v="36"/>
    <x v="42"/>
    <x v="42"/>
    <n v="-48"/>
    <x v="1"/>
    <s v="Apto"/>
    <d v="2023-02-16T00:00:00"/>
  </r>
  <r>
    <x v="73"/>
    <n v="17784"/>
    <s v="Médico - Endocrinologia E Metabologia"/>
    <x v="32"/>
    <x v="1"/>
    <x v="0"/>
    <s v="Anual"/>
    <s v="Periódico"/>
    <x v="9"/>
    <x v="10"/>
    <x v="10"/>
    <n v="101"/>
    <x v="2"/>
    <s v="Apto"/>
    <m/>
  </r>
  <r>
    <x v="74"/>
    <n v="14346"/>
    <s v="Enfermeiro - Assistencial"/>
    <x v="33"/>
    <x v="0"/>
    <x v="1"/>
    <s v="Semestral"/>
    <s v="Periódico"/>
    <x v="10"/>
    <x v="11"/>
    <x v="11"/>
    <n v="-109"/>
    <x v="1"/>
    <s v="Apto"/>
    <s v="Pendente"/>
  </r>
  <r>
    <x v="75"/>
    <n v="21404"/>
    <s v="Técnico em Enfermagem"/>
    <x v="9"/>
    <x v="0"/>
    <x v="0"/>
    <s v="Anual"/>
    <s v="Periódico"/>
    <x v="29"/>
    <x v="32"/>
    <x v="32"/>
    <n v="157"/>
    <x v="2"/>
    <s v="Apto"/>
    <m/>
  </r>
  <r>
    <x v="76"/>
    <n v="20370"/>
    <s v="Fisioterapeuta - Respiratória"/>
    <x v="12"/>
    <x v="0"/>
    <x v="0"/>
    <s v="Anual"/>
    <s v="Periódico"/>
    <x v="2"/>
    <x v="2"/>
    <x v="2"/>
    <n v="190"/>
    <x v="2"/>
    <s v="Apto"/>
    <m/>
  </r>
  <r>
    <x v="77"/>
    <n v="18908"/>
    <s v="Técnico em Análises Clínicas"/>
    <x v="18"/>
    <x v="1"/>
    <x v="0"/>
    <s v="Anual"/>
    <s v="Periódico"/>
    <x v="37"/>
    <x v="43"/>
    <x v="43"/>
    <n v="121"/>
    <x v="2"/>
    <s v="Apto"/>
    <m/>
  </r>
  <r>
    <x v="78"/>
    <n v="10813"/>
    <s v="Técnico em Enfermagem"/>
    <x v="31"/>
    <x v="0"/>
    <x v="0"/>
    <s v="Anual"/>
    <s v="Periódico"/>
    <x v="4"/>
    <x v="5"/>
    <x v="5"/>
    <n v="192"/>
    <x v="2"/>
    <s v="Apto"/>
    <m/>
  </r>
  <r>
    <x v="79"/>
    <n v="11343"/>
    <s v="Técnico em Enfermagem"/>
    <x v="13"/>
    <x v="1"/>
    <x v="0"/>
    <s v="Anual"/>
    <s v="Periódico"/>
    <x v="21"/>
    <x v="23"/>
    <x v="23"/>
    <n v="93"/>
    <x v="2"/>
    <s v="Apto"/>
    <m/>
  </r>
  <r>
    <x v="80"/>
    <n v="13037"/>
    <s v="Técnico em Enfermagem"/>
    <x v="34"/>
    <x v="0"/>
    <x v="0"/>
    <s v="Anual"/>
    <s v="Periódico"/>
    <x v="38"/>
    <x v="44"/>
    <x v="44"/>
    <n v="24"/>
    <x v="3"/>
    <s v="Apto"/>
    <m/>
  </r>
  <r>
    <x v="81"/>
    <n v="10952"/>
    <s v="Assistente Administrativo"/>
    <x v="33"/>
    <x v="0"/>
    <x v="2"/>
    <s v="Anual"/>
    <s v="Periódico"/>
    <x v="35"/>
    <x v="40"/>
    <x v="40"/>
    <n v="204"/>
    <x v="2"/>
    <s v="Apto"/>
    <m/>
  </r>
  <r>
    <x v="82"/>
    <n v="16786"/>
    <s v="Enfermeiro - Assistencial"/>
    <x v="14"/>
    <x v="0"/>
    <x v="1"/>
    <s v="Semestral"/>
    <s v="Periódico"/>
    <x v="27"/>
    <x v="45"/>
    <x v="45"/>
    <n v="-11"/>
    <x v="1"/>
    <s v="Apto"/>
    <m/>
  </r>
  <r>
    <x v="83"/>
    <n v="19874"/>
    <s v="Médico - Clínica Médica"/>
    <x v="8"/>
    <x v="1"/>
    <x v="0"/>
    <s v="Anual"/>
    <s v="Periódico"/>
    <x v="36"/>
    <x v="42"/>
    <x v="42"/>
    <n v="-48"/>
    <x v="1"/>
    <s v="Apto"/>
    <d v="2023-02-08T00:00:00"/>
  </r>
  <r>
    <x v="84"/>
    <n v="23026"/>
    <s v="Psicólogo - Área Hospitalar"/>
    <x v="35"/>
    <x v="0"/>
    <x v="0"/>
    <s v="Anual"/>
    <s v="Periódico"/>
    <x v="2"/>
    <x v="2"/>
    <x v="2"/>
    <n v="190"/>
    <x v="2"/>
    <s v="Apto"/>
    <m/>
  </r>
  <r>
    <x v="85"/>
    <n v="12605"/>
    <s v="Técnico em Farmácia"/>
    <x v="15"/>
    <x v="1"/>
    <x v="1"/>
    <s v="Semestral"/>
    <s v="Periódico"/>
    <x v="26"/>
    <x v="46"/>
    <x v="46"/>
    <n v="23"/>
    <x v="3"/>
    <s v="Apto"/>
    <m/>
  </r>
  <r>
    <x v="86"/>
    <n v="13491"/>
    <s v="Técnico em Farmácia"/>
    <x v="21"/>
    <x v="1"/>
    <x v="0"/>
    <s v="Anual"/>
    <s v="Periódico"/>
    <x v="23"/>
    <x v="25"/>
    <x v="25"/>
    <n v="262"/>
    <x v="2"/>
    <s v="Apto"/>
    <m/>
  </r>
  <r>
    <x v="87"/>
    <n v="12359"/>
    <s v="Técnico em Enfermagem"/>
    <x v="13"/>
    <x v="1"/>
    <x v="0"/>
    <s v="Anual"/>
    <s v="Periódico"/>
    <x v="21"/>
    <x v="23"/>
    <x v="23"/>
    <n v="93"/>
    <x v="2"/>
    <s v="Apto"/>
    <m/>
  </r>
  <r>
    <x v="88"/>
    <n v="10344"/>
    <s v="Técnico em Citopatologia"/>
    <x v="1"/>
    <x v="1"/>
    <x v="1"/>
    <s v="Semestral"/>
    <s v="Periódico"/>
    <x v="2"/>
    <x v="47"/>
    <x v="47"/>
    <n v="7"/>
    <x v="3"/>
    <s v="Apto"/>
    <m/>
  </r>
  <r>
    <x v="89"/>
    <n v="15993"/>
    <s v="Técnico em Farmácia"/>
    <x v="15"/>
    <x v="1"/>
    <x v="1"/>
    <s v="Semestral"/>
    <s v="Periódico"/>
    <x v="39"/>
    <x v="48"/>
    <x v="48"/>
    <n v="-46"/>
    <x v="1"/>
    <s v="Apto"/>
    <d v="2023-02-16T00:00:00"/>
  </r>
  <r>
    <x v="90"/>
    <n v="18060"/>
    <s v="Técnico em Enfermagem"/>
    <x v="2"/>
    <x v="1"/>
    <x v="0"/>
    <s v="Anual"/>
    <s v="Periódico"/>
    <x v="20"/>
    <x v="21"/>
    <x v="21"/>
    <n v="-61"/>
    <x v="1"/>
    <s v="Apto"/>
    <m/>
  </r>
  <r>
    <x v="91"/>
    <n v="11031"/>
    <s v="Técnico em Enfermagem"/>
    <x v="0"/>
    <x v="0"/>
    <x v="0"/>
    <s v="Anual"/>
    <s v="Periódico"/>
    <x v="40"/>
    <x v="49"/>
    <x v="49"/>
    <n v="58"/>
    <x v="2"/>
    <s v="Apto"/>
    <m/>
  </r>
  <r>
    <x v="92"/>
    <n v="19226"/>
    <s v="Técnico em Enfermagem"/>
    <x v="5"/>
    <x v="1"/>
    <x v="0"/>
    <s v="Anual"/>
    <s v="Periódico"/>
    <x v="41"/>
    <x v="50"/>
    <x v="50"/>
    <n v="148"/>
    <x v="2"/>
    <s v="Apto"/>
    <m/>
  </r>
  <r>
    <x v="93"/>
    <n v="20382"/>
    <s v="Médico - Anestesiologia"/>
    <x v="5"/>
    <x v="1"/>
    <x v="3"/>
    <s v="Semestral"/>
    <s v="Retorno ao Trabalho"/>
    <x v="42"/>
    <x v="26"/>
    <x v="26"/>
    <n v="2"/>
    <x v="3"/>
    <s v="Apto"/>
    <m/>
  </r>
  <r>
    <x v="94"/>
    <n v="24522"/>
    <s v="Cirurgião Dentista"/>
    <x v="26"/>
    <x v="1"/>
    <x v="0"/>
    <s v="Anual"/>
    <s v="Periódico"/>
    <x v="2"/>
    <x v="2"/>
    <x v="2"/>
    <n v="190"/>
    <x v="2"/>
    <s v="Apto"/>
    <m/>
  </r>
  <r>
    <x v="95"/>
    <n v="13519"/>
    <s v="Técnico em Enfermagem"/>
    <x v="20"/>
    <x v="0"/>
    <x v="0"/>
    <s v="Anual"/>
    <s v="Periódico"/>
    <x v="2"/>
    <x v="2"/>
    <x v="2"/>
    <n v="190"/>
    <x v="2"/>
    <s v="Apto"/>
    <m/>
  </r>
  <r>
    <x v="96"/>
    <n v="23484"/>
    <s v="Técnico em Enfermagem"/>
    <x v="8"/>
    <x v="1"/>
    <x v="0"/>
    <s v="Anual"/>
    <s v="Periódico"/>
    <x v="1"/>
    <x v="4"/>
    <x v="4"/>
    <n v="-55"/>
    <x v="1"/>
    <s v="Apto"/>
    <d v="2023-02-08T00:00:00"/>
  </r>
  <r>
    <x v="97"/>
    <n v="22920"/>
    <s v="Enfermeiro - Assistencial"/>
    <x v="9"/>
    <x v="0"/>
    <x v="1"/>
    <s v="Semestral"/>
    <s v="Periódico"/>
    <x v="19"/>
    <x v="51"/>
    <x v="51"/>
    <n v="56"/>
    <x v="2"/>
    <s v="Apto"/>
    <m/>
  </r>
  <r>
    <x v="98"/>
    <n v="25003"/>
    <s v="Técnico em Enfermagem"/>
    <x v="2"/>
    <x v="1"/>
    <x v="0"/>
    <s v="Semestral"/>
    <s v="Periódico"/>
    <x v="13"/>
    <x v="52"/>
    <x v="52"/>
    <n v="42"/>
    <x v="2"/>
    <s v="Apto"/>
    <s v="Pendente"/>
  </r>
  <r>
    <x v="99"/>
    <n v="63505"/>
    <s v="Técnico em Enfermagem"/>
    <x v="2"/>
    <x v="1"/>
    <x v="0"/>
    <s v="Semestral"/>
    <s v="Periódico"/>
    <x v="13"/>
    <x v="52"/>
    <x v="52"/>
    <n v="42"/>
    <x v="2"/>
    <s v="Apto"/>
    <m/>
  </r>
  <r>
    <x v="100"/>
    <n v="56004"/>
    <s v="Médico - Anestesiologia"/>
    <x v="5"/>
    <x v="0"/>
    <x v="0"/>
    <s v="Semestral"/>
    <s v="Periódico"/>
    <x v="42"/>
    <x v="26"/>
    <x v="26"/>
    <n v="2"/>
    <x v="3"/>
    <s v="Apto"/>
    <m/>
  </r>
  <r>
    <x v="101"/>
    <n v="75056"/>
    <s v="Fisioterapeuta - Respiratória"/>
    <x v="12"/>
    <x v="0"/>
    <x v="0"/>
    <s v="Anual"/>
    <s v="Periódico"/>
    <x v="43"/>
    <x v="53"/>
    <x v="53"/>
    <n v="-8"/>
    <x v="1"/>
    <s v="Apto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68E72D-CAE0-4E36-9FEF-6266231372A0}" name="td_resumo" cacheId="133" applyNumberFormats="0" applyBorderFormats="0" applyFontFormats="0" applyPatternFormats="0" applyAlignmentFormats="0" applyWidthHeightFormats="1" dataCaption="Valores" updatedVersion="8" minRefreshableVersion="5" showDrill="0" rowGrandTotals="0" colGrandTotals="0" itemPrintTitles="1" createdVersion="8" indent="0" compact="0" compactData="0" multipleFieldFilters="0">
  <location ref="J4:M106" firstHeaderRow="1" firstDataRow="1" firstDataCol="4"/>
  <pivotFields count="20">
    <pivotField axis="axisRow" compact="0" outline="0" showAll="0" defaultSubtotal="0">
      <items count="102">
        <item x="6"/>
        <item x="84"/>
        <item x="77"/>
        <item x="75"/>
        <item x="34"/>
        <item x="82"/>
        <item x="46"/>
        <item x="92"/>
        <item x="88"/>
        <item x="12"/>
        <item x="95"/>
        <item x="31"/>
        <item x="40"/>
        <item x="69"/>
        <item x="0"/>
        <item x="35"/>
        <item x="48"/>
        <item x="32"/>
        <item x="1"/>
        <item x="27"/>
        <item x="45"/>
        <item x="83"/>
        <item x="50"/>
        <item x="30"/>
        <item x="37"/>
        <item x="54"/>
        <item x="76"/>
        <item x="80"/>
        <item x="51"/>
        <item x="87"/>
        <item x="19"/>
        <item x="16"/>
        <item x="7"/>
        <item x="9"/>
        <item x="23"/>
        <item x="78"/>
        <item x="15"/>
        <item x="11"/>
        <item x="24"/>
        <item x="62"/>
        <item x="57"/>
        <item x="52"/>
        <item x="63"/>
        <item x="22"/>
        <item x="71"/>
        <item x="17"/>
        <item x="43"/>
        <item x="98"/>
        <item x="41"/>
        <item x="28"/>
        <item x="73"/>
        <item x="66"/>
        <item x="67"/>
        <item x="81"/>
        <item x="13"/>
        <item x="59"/>
        <item x="4"/>
        <item x="70"/>
        <item x="47"/>
        <item x="39"/>
        <item x="21"/>
        <item x="93"/>
        <item x="42"/>
        <item x="86"/>
        <item x="10"/>
        <item x="3"/>
        <item x="56"/>
        <item x="33"/>
        <item x="44"/>
        <item x="8"/>
        <item x="91"/>
        <item x="79"/>
        <item x="90"/>
        <item x="2"/>
        <item x="85"/>
        <item x="60"/>
        <item x="14"/>
        <item x="72"/>
        <item x="97"/>
        <item x="65"/>
        <item x="49"/>
        <item x="61"/>
        <item x="68"/>
        <item x="36"/>
        <item x="74"/>
        <item x="29"/>
        <item x="89"/>
        <item x="20"/>
        <item x="25"/>
        <item x="96"/>
        <item x="58"/>
        <item x="53"/>
        <item x="26"/>
        <item x="38"/>
        <item x="5"/>
        <item x="55"/>
        <item x="18"/>
        <item x="94"/>
        <item x="64"/>
        <item x="99"/>
        <item x="100"/>
        <item x="10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37">
        <item x="34"/>
        <item x="29"/>
        <item x="35"/>
        <item m="1" x="36"/>
        <item x="7"/>
        <item x="5"/>
        <item x="8"/>
        <item x="13"/>
        <item x="16"/>
        <item x="27"/>
        <item x="17"/>
        <item x="22"/>
        <item x="32"/>
        <item x="21"/>
        <item x="15"/>
        <item x="11"/>
        <item x="14"/>
        <item x="25"/>
        <item x="6"/>
        <item x="4"/>
        <item x="18"/>
        <item x="1"/>
        <item x="19"/>
        <item x="9"/>
        <item x="24"/>
        <item x="31"/>
        <item x="26"/>
        <item x="23"/>
        <item x="0"/>
        <item x="20"/>
        <item x="10"/>
        <item x="12"/>
        <item x="33"/>
        <item x="28"/>
        <item x="3"/>
        <item x="30"/>
        <item x="2"/>
      </items>
    </pivotField>
    <pivotField compact="0" outline="0" showAll="0" defaultSubtotal="0"/>
    <pivotField axis="axisRow" compact="0" outline="0" showAll="0" defaultSubtotal="0">
      <items count="4">
        <item x="0"/>
        <item x="2"/>
        <item x="1"/>
        <item x="3"/>
      </items>
    </pivotField>
    <pivotField compact="0" outline="0" showAll="0" defaultSubtotal="0"/>
    <pivotField compact="0" outline="0" showAll="0" defaultSubtotal="0"/>
    <pivotField compact="0" numFmtId="14" outline="0" showAll="0" defaultSubtotal="0"/>
    <pivotField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numFmtId="16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howAll="0" defaultSubtotal="0"/>
    <pivotField axis="axisRow" compact="0" outline="0" showAll="0" defaultSubtotal="0">
      <items count="5">
        <item x="0"/>
        <item x="3"/>
        <item m="1" x="4"/>
        <item x="2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>
      <items count="6">
        <item x="0"/>
        <item x="1"/>
        <item x="2"/>
        <item x="3"/>
        <item x="4"/>
        <item x="5"/>
      </items>
    </pivotField>
    <pivotField compact="0" outline="0" subtotalTop="0" showAll="0" defaultSubtotal="0">
      <items count="4">
        <item x="0"/>
        <item x="1"/>
        <item x="2"/>
        <item x="3"/>
      </items>
    </pivotField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4">
    <field x="0"/>
    <field x="3"/>
    <field x="5"/>
    <field x="12"/>
  </rowFields>
  <rowItems count="102">
    <i>
      <x/>
      <x v="5"/>
      <x/>
      <x v="1"/>
    </i>
    <i>
      <x v="1"/>
      <x v="2"/>
      <x/>
      <x v="3"/>
    </i>
    <i>
      <x v="2"/>
      <x v="20"/>
      <x/>
      <x v="3"/>
    </i>
    <i>
      <x v="3"/>
      <x v="23"/>
      <x/>
      <x v="3"/>
    </i>
    <i>
      <x v="4"/>
      <x v="22"/>
      <x/>
      <x v="3"/>
    </i>
    <i>
      <x v="5"/>
      <x v="16"/>
      <x v="2"/>
      <x v="4"/>
    </i>
    <i>
      <x v="6"/>
      <x v="16"/>
      <x/>
      <x v="3"/>
    </i>
    <i>
      <x v="7"/>
      <x v="5"/>
      <x/>
      <x v="3"/>
    </i>
    <i>
      <x v="8"/>
      <x v="21"/>
      <x v="2"/>
      <x v="1"/>
    </i>
    <i>
      <x v="9"/>
      <x v="28"/>
      <x v="3"/>
      <x/>
    </i>
    <i>
      <x v="10"/>
      <x v="29"/>
      <x/>
      <x v="3"/>
    </i>
    <i>
      <x v="11"/>
      <x v="6"/>
      <x/>
      <x v="4"/>
    </i>
    <i>
      <x v="12"/>
      <x v="5"/>
      <x/>
      <x v="1"/>
    </i>
    <i>
      <x v="13"/>
      <x v="10"/>
      <x v="1"/>
      <x v="3"/>
    </i>
    <i>
      <x v="14"/>
      <x v="28"/>
      <x/>
      <x/>
    </i>
    <i>
      <x v="15"/>
      <x v="5"/>
      <x v="3"/>
      <x v="4"/>
    </i>
    <i>
      <x v="16"/>
      <x v="5"/>
      <x/>
      <x v="4"/>
    </i>
    <i>
      <x v="17"/>
      <x v="10"/>
      <x v="1"/>
      <x v="3"/>
    </i>
    <i>
      <x v="18"/>
      <x v="21"/>
      <x v="2"/>
      <x v="4"/>
    </i>
    <i>
      <x v="19"/>
      <x v="5"/>
      <x/>
      <x v="3"/>
    </i>
    <i>
      <x v="20"/>
      <x v="13"/>
      <x/>
      <x v="3"/>
    </i>
    <i>
      <x v="21"/>
      <x v="6"/>
      <x/>
      <x v="4"/>
    </i>
    <i>
      <x v="22"/>
      <x v="16"/>
      <x/>
      <x v="3"/>
    </i>
    <i>
      <x v="23"/>
      <x v="36"/>
      <x/>
      <x v="3"/>
    </i>
    <i>
      <x v="24"/>
      <x v="29"/>
      <x/>
      <x v="3"/>
    </i>
    <i>
      <x v="25"/>
      <x v="27"/>
      <x/>
      <x v="4"/>
    </i>
    <i>
      <x v="26"/>
      <x v="31"/>
      <x/>
      <x v="3"/>
    </i>
    <i>
      <x v="27"/>
      <x/>
      <x/>
      <x v="1"/>
    </i>
    <i>
      <x v="28"/>
      <x v="5"/>
      <x/>
      <x v="3"/>
    </i>
    <i>
      <x v="29"/>
      <x v="7"/>
      <x/>
      <x v="3"/>
    </i>
    <i>
      <x v="30"/>
      <x v="7"/>
      <x/>
      <x v="3"/>
    </i>
    <i>
      <x v="31"/>
      <x v="15"/>
      <x v="1"/>
      <x v="3"/>
    </i>
    <i>
      <x v="32"/>
      <x v="28"/>
      <x/>
      <x v="4"/>
    </i>
    <i>
      <x v="33"/>
      <x v="18"/>
      <x/>
      <x v="3"/>
    </i>
    <i>
      <x v="34"/>
      <x v="16"/>
      <x/>
      <x v="3"/>
    </i>
    <i>
      <x v="35"/>
      <x v="25"/>
      <x/>
      <x v="3"/>
    </i>
    <i>
      <x v="36"/>
      <x v="23"/>
      <x/>
      <x v="3"/>
    </i>
    <i>
      <x v="37"/>
      <x v="6"/>
      <x/>
      <x v="3"/>
    </i>
    <i>
      <x v="38"/>
      <x v="5"/>
      <x/>
      <x v="3"/>
    </i>
    <i>
      <x v="39"/>
      <x v="5"/>
      <x/>
      <x v="3"/>
    </i>
    <i>
      <x v="40"/>
      <x v="26"/>
      <x/>
      <x v="3"/>
    </i>
    <i>
      <x v="41"/>
      <x v="29"/>
      <x/>
      <x v="4"/>
    </i>
    <i>
      <x v="42"/>
      <x v="36"/>
      <x/>
      <x v="4"/>
    </i>
    <i>
      <x v="43"/>
      <x v="28"/>
      <x v="3"/>
      <x v="4"/>
    </i>
    <i>
      <x v="44"/>
      <x v="30"/>
      <x/>
      <x v="3"/>
    </i>
    <i>
      <x v="45"/>
      <x v="15"/>
      <x v="1"/>
      <x v="3"/>
    </i>
    <i>
      <x v="46"/>
      <x v="6"/>
      <x/>
      <x v="1"/>
    </i>
    <i>
      <x v="47"/>
      <x v="36"/>
      <x/>
      <x v="3"/>
    </i>
    <i>
      <x v="48"/>
      <x v="23"/>
      <x/>
      <x v="3"/>
    </i>
    <i>
      <x v="49"/>
      <x v="31"/>
      <x/>
      <x v="4"/>
    </i>
    <i>
      <x v="50"/>
      <x v="12"/>
      <x/>
      <x v="3"/>
    </i>
    <i>
      <x v="51"/>
      <x v="13"/>
      <x/>
      <x v="3"/>
    </i>
    <i>
      <x v="52"/>
      <x v="13"/>
      <x/>
      <x v="3"/>
    </i>
    <i>
      <x v="53"/>
      <x v="32"/>
      <x v="1"/>
      <x v="3"/>
    </i>
    <i>
      <x v="54"/>
      <x v="23"/>
      <x/>
      <x v="3"/>
    </i>
    <i>
      <x v="55"/>
      <x v="33"/>
      <x/>
      <x v="3"/>
    </i>
    <i>
      <x v="56"/>
      <x v="19"/>
      <x/>
      <x v="4"/>
    </i>
    <i>
      <x v="57"/>
      <x v="5"/>
      <x v="3"/>
      <x v="4"/>
    </i>
    <i>
      <x v="58"/>
      <x v="11"/>
      <x v="3"/>
      <x v="4"/>
    </i>
    <i>
      <x v="59"/>
      <x v="7"/>
      <x/>
      <x v="3"/>
    </i>
    <i>
      <x v="60"/>
      <x v="28"/>
      <x/>
      <x v="4"/>
    </i>
    <i>
      <x v="61"/>
      <x v="5"/>
      <x v="3"/>
      <x v="1"/>
    </i>
    <i>
      <x v="62"/>
      <x v="29"/>
      <x/>
      <x v="1"/>
    </i>
    <i>
      <x v="63"/>
      <x v="13"/>
      <x/>
      <x v="3"/>
    </i>
    <i>
      <x v="64"/>
      <x v="4"/>
      <x/>
      <x v="4"/>
    </i>
    <i>
      <x v="65"/>
      <x v="34"/>
      <x v="1"/>
      <x v="3"/>
    </i>
    <i>
      <x v="66"/>
      <x v="17"/>
      <x/>
      <x v="3"/>
    </i>
    <i>
      <x v="67"/>
      <x v="20"/>
      <x/>
      <x v="3"/>
    </i>
    <i>
      <x v="68"/>
      <x v="7"/>
      <x/>
      <x v="3"/>
    </i>
    <i>
      <x v="69"/>
      <x v="5"/>
      <x/>
      <x v="3"/>
    </i>
    <i>
      <x v="70"/>
      <x v="28"/>
      <x/>
      <x v="3"/>
    </i>
    <i>
      <x v="71"/>
      <x v="7"/>
      <x/>
      <x v="3"/>
    </i>
    <i>
      <x v="72"/>
      <x v="36"/>
      <x/>
      <x v="4"/>
    </i>
    <i>
      <x v="73"/>
      <x v="36"/>
      <x/>
      <x v="3"/>
    </i>
    <i>
      <x v="74"/>
      <x v="14"/>
      <x v="2"/>
      <x v="1"/>
    </i>
    <i>
      <x v="75"/>
      <x v="5"/>
      <x/>
      <x v="4"/>
    </i>
    <i>
      <x v="76"/>
      <x v="30"/>
      <x/>
      <x v="4"/>
    </i>
    <i>
      <x v="77"/>
      <x v="25"/>
      <x/>
      <x v="4"/>
    </i>
    <i>
      <x v="78"/>
      <x v="23"/>
      <x v="2"/>
      <x v="3"/>
    </i>
    <i>
      <x v="79"/>
      <x v="35"/>
      <x/>
      <x v="3"/>
    </i>
    <i>
      <x v="80"/>
      <x v="31"/>
      <x/>
      <x v="3"/>
    </i>
    <i>
      <x v="81"/>
      <x v="5"/>
      <x/>
      <x v="3"/>
    </i>
    <i>
      <x v="82"/>
      <x v="5"/>
      <x/>
      <x v="3"/>
    </i>
    <i>
      <x v="83"/>
      <x v="30"/>
      <x/>
      <x v="3"/>
    </i>
    <i>
      <x v="84"/>
      <x v="32"/>
      <x v="2"/>
      <x v="4"/>
    </i>
    <i>
      <x v="85"/>
      <x v="36"/>
      <x/>
      <x v="3"/>
    </i>
    <i>
      <x v="86"/>
      <x v="14"/>
      <x v="2"/>
      <x v="4"/>
    </i>
    <i>
      <x v="87"/>
      <x v="6"/>
      <x/>
      <x v="3"/>
    </i>
    <i>
      <x v="88"/>
      <x v="14"/>
      <x v="2"/>
      <x v="4"/>
    </i>
    <i>
      <x v="89"/>
      <x v="6"/>
      <x/>
      <x v="4"/>
    </i>
    <i>
      <x v="90"/>
      <x v="9"/>
      <x v="1"/>
      <x v="3"/>
    </i>
    <i>
      <x v="91"/>
      <x v="34"/>
      <x v="1"/>
      <x v="4"/>
    </i>
    <i>
      <x v="92"/>
      <x v="8"/>
      <x v="1"/>
      <x v="3"/>
    </i>
    <i>
      <x v="93"/>
      <x v="13"/>
      <x/>
      <x v="3"/>
    </i>
    <i>
      <x v="94"/>
      <x v="5"/>
      <x/>
      <x v="3"/>
    </i>
    <i>
      <x v="95"/>
      <x v="24"/>
      <x/>
      <x v="3"/>
    </i>
    <i>
      <x v="96"/>
      <x v="31"/>
      <x/>
      <x v="4"/>
    </i>
    <i>
      <x v="97"/>
      <x v="26"/>
      <x/>
      <x v="3"/>
    </i>
    <i>
      <x v="98"/>
      <x v="1"/>
      <x v="1"/>
      <x v="4"/>
    </i>
    <i>
      <x v="99"/>
      <x v="36"/>
      <x/>
      <x v="3"/>
    </i>
    <i>
      <x v="100"/>
      <x v="5"/>
      <x/>
      <x v="1"/>
    </i>
    <i>
      <x v="101"/>
      <x v="31"/>
      <x/>
      <x v="4"/>
    </i>
  </rowItems>
  <colItems count="1">
    <i/>
  </colItems>
  <pivotTableStyleInfo name="PivotStyleLight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A29DE5-6149-4AEC-BD70-B31342200C1D}" name="td_status" cacheId="133" applyNumberFormats="0" applyBorderFormats="0" applyFontFormats="0" applyPatternFormats="0" applyAlignmentFormats="0" applyWidthHeightFormats="1" dataCaption="Valores" updatedVersion="8" minRefreshableVersion="5" itemPrintTitles="1" createdVersion="8" indent="0" outline="1" outlineData="1" multipleFieldFilters="0">
  <location ref="B4:D9" firstHeaderRow="0" firstDataRow="1" firstDataCol="1"/>
  <pivotFields count="20">
    <pivotField showAll="0"/>
    <pivotField showAll="0"/>
    <pivotField showAll="0"/>
    <pivotField showAll="0">
      <items count="38">
        <item x="34"/>
        <item x="29"/>
        <item x="35"/>
        <item m="1" x="36"/>
        <item x="7"/>
        <item x="5"/>
        <item x="8"/>
        <item x="13"/>
        <item x="16"/>
        <item x="27"/>
        <item x="17"/>
        <item x="22"/>
        <item x="32"/>
        <item x="21"/>
        <item x="15"/>
        <item x="11"/>
        <item x="14"/>
        <item x="25"/>
        <item x="6"/>
        <item x="4"/>
        <item x="18"/>
        <item x="1"/>
        <item x="19"/>
        <item x="9"/>
        <item x="24"/>
        <item x="31"/>
        <item x="26"/>
        <item x="23"/>
        <item x="0"/>
        <item x="20"/>
        <item x="10"/>
        <item x="12"/>
        <item x="33"/>
        <item x="28"/>
        <item x="3"/>
        <item x="30"/>
        <item x="2"/>
        <item t="default"/>
      </items>
    </pivotField>
    <pivotField showAll="0"/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Row" dataField="1" multipleItemSelectionAllowed="1" showAll="0">
      <items count="6">
        <item x="0"/>
        <item x="3"/>
        <item m="1" x="4"/>
        <item x="2"/>
        <item x="1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2"/>
  </rowFields>
  <rowItems count="5">
    <i>
      <x/>
    </i>
    <i>
      <x v="1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Contagem de Status" fld="12" subtotal="count" baseField="0" baseItem="0"/>
    <dataField name="% do Status" fld="12" subtotal="count" showDataAs="percentOfTotal" baseField="13" baseItem="3" numFmtId="165"/>
  </dataFields>
  <formats count="1">
    <format dxfId="1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27FA90-D65C-4488-952C-5F5854D49E5C}" name="td_vencimentos" cacheId="133" applyNumberFormats="0" applyBorderFormats="0" applyFontFormats="0" applyPatternFormats="0" applyAlignmentFormats="0" applyWidthHeightFormats="1" dataCaption="Valores" updatedVersion="8" minRefreshableVersion="5" itemPrintTitles="1" createdVersion="8" indent="0" compact="0" compactData="0" multipleFieldFilters="0" chartFormat="3">
  <location ref="F4:H20" firstHeaderRow="1" firstDataRow="1" firstDataCol="2"/>
  <pivotFields count="20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7">
        <item x="34"/>
        <item x="29"/>
        <item x="35"/>
        <item m="1" x="36"/>
        <item x="7"/>
        <item x="5"/>
        <item x="8"/>
        <item x="13"/>
        <item x="16"/>
        <item x="27"/>
        <item x="17"/>
        <item x="22"/>
        <item x="32"/>
        <item x="21"/>
        <item x="15"/>
        <item x="11"/>
        <item x="14"/>
        <item x="25"/>
        <item x="6"/>
        <item x="4"/>
        <item x="18"/>
        <item x="1"/>
        <item x="19"/>
        <item x="9"/>
        <item x="24"/>
        <item x="31"/>
        <item x="26"/>
        <item x="23"/>
        <item x="0"/>
        <item x="20"/>
        <item x="10"/>
        <item x="12"/>
        <item x="33"/>
        <item x="28"/>
        <item x="3"/>
        <item x="3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4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6">
        <item sd="0" x="0"/>
        <item sd="0" x="1"/>
        <item sd="0" x="2"/>
        <item sd="0" x="3"/>
        <item sd="0" x="4"/>
        <item sd="0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sd="0" x="0"/>
        <item x="1"/>
        <item x="2"/>
        <item sd="0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6"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7"/>
    <field x="10"/>
  </rowFields>
  <rowItems count="16">
    <i>
      <x v="1"/>
      <x v="8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Items count="1">
    <i/>
  </colItems>
  <dataFields count="1">
    <dataField name="Contagem de Status" fld="12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6D7EA3-5BB4-491A-85F0-A29CB0C9839C}" name="td_unidades" cacheId="133" applyNumberFormats="0" applyBorderFormats="0" applyFontFormats="0" applyPatternFormats="0" applyAlignmentFormats="0" applyWidthHeightFormats="1" dataCaption="Valores" updatedVersion="8" minRefreshableVersion="5" itemPrintTitles="1" createdVersion="8" indent="0" outline="1" outlineData="1" multipleFieldFilters="0" chartFormat="11">
  <location ref="R4:V8" firstHeaderRow="1" firstDataRow="2" firstDataCol="1"/>
  <pivotFields count="20">
    <pivotField showAll="0"/>
    <pivotField showAll="0"/>
    <pivotField showAll="0"/>
    <pivotField showAll="0">
      <items count="38">
        <item x="34"/>
        <item x="29"/>
        <item x="35"/>
        <item m="1" x="36"/>
        <item x="7"/>
        <item x="5"/>
        <item x="8"/>
        <item x="13"/>
        <item x="16"/>
        <item x="27"/>
        <item x="17"/>
        <item x="22"/>
        <item x="32"/>
        <item x="21"/>
        <item x="15"/>
        <item x="11"/>
        <item x="14"/>
        <item x="25"/>
        <item x="6"/>
        <item x="4"/>
        <item x="18"/>
        <item x="1"/>
        <item x="19"/>
        <item x="9"/>
        <item x="24"/>
        <item x="31"/>
        <item x="26"/>
        <item x="23"/>
        <item x="0"/>
        <item x="20"/>
        <item x="10"/>
        <item x="12"/>
        <item x="33"/>
        <item x="28"/>
        <item x="3"/>
        <item x="30"/>
        <item x="2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Col" dataField="1" showAll="0">
      <items count="6">
        <item h="1" x="0"/>
        <item x="3"/>
        <item m="1" x="4"/>
        <item x="2"/>
        <item x="1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4"/>
  </rowFields>
  <rowItems count="3">
    <i>
      <x/>
    </i>
    <i>
      <x v="1"/>
    </i>
    <i t="grand">
      <x/>
    </i>
  </rowItems>
  <colFields count="1">
    <field x="12"/>
  </colFields>
  <colItems count="4">
    <i>
      <x v="1"/>
    </i>
    <i>
      <x v="3"/>
    </i>
    <i>
      <x v="4"/>
    </i>
    <i t="grand">
      <x/>
    </i>
  </colItems>
  <dataFields count="1">
    <dataField name="Contagem de Status" fld="12" subtotal="count" showDataAs="percentOfTotal" baseField="4" baseItem="0" numFmtId="165"/>
  </dataFields>
  <formats count="1">
    <format dxfId="13">
      <pivotArea outline="0" collapsedLevelsAreSubtotals="1" fieldPosition="0"/>
    </format>
  </formats>
  <chartFormats count="24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  <chartFormat chart="5" format="4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5" format="5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5" format="6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  <chartFormat chart="6" format="7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6" format="8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6" format="9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  <chartFormat chart="6" format="1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5" format="7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10" format="19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10" format="2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10" format="2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  <chartFormat chart="10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C5E1541-18AF-4E6C-B9D7-76ADC1BD435D}" sourceName="Setor">
  <pivotTables>
    <pivotTable tabId="3" name="td_vencimentos"/>
    <pivotTable tabId="3" name="td_status"/>
    <pivotTable tabId="3" name="td_resumo"/>
    <pivotTable tabId="3" name="td_unidades"/>
  </pivotTables>
  <data>
    <tabular pivotCacheId="845693338">
      <items count="37">
        <i x="34" s="1"/>
        <i x="29" s="1"/>
        <i x="35" s="1"/>
        <i x="7" s="1"/>
        <i x="5" s="1"/>
        <i x="8" s="1"/>
        <i x="13" s="1"/>
        <i x="16" s="1"/>
        <i x="27" s="1"/>
        <i x="17" s="1"/>
        <i x="22" s="1"/>
        <i x="32" s="1"/>
        <i x="21" s="1"/>
        <i x="15" s="1"/>
        <i x="11" s="1"/>
        <i x="14" s="1"/>
        <i x="25" s="1"/>
        <i x="6" s="1"/>
        <i x="4" s="1"/>
        <i x="18" s="1"/>
        <i x="1" s="1"/>
        <i x="19" s="1"/>
        <i x="9" s="1"/>
        <i x="24" s="1"/>
        <i x="31" s="1"/>
        <i x="26" s="1"/>
        <i x="23" s="1"/>
        <i x="0" s="1"/>
        <i x="20" s="1"/>
        <i x="10" s="1"/>
        <i x="12" s="1"/>
        <i x="33" s="1"/>
        <i x="28" s="1"/>
        <i x="3" s="1"/>
        <i x="30" s="1"/>
        <i x="2" s="1"/>
        <i x="36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etor" xr10:uid="{C9D3F5DB-1696-46F7-AE9D-0C91F70F9387}" cache="SegmentaçãodeDados_Setor" caption="Setor" style="SlicerStyleLight3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3B7CF3-0A59-422E-A6F8-BA75D511CEE8}" name="Tb_funcionarios" displayName="Tb_funcionarios" ref="A1:O103" totalsRowShown="0" headerRowDxfId="39" headerRowBorderDxfId="38" tableBorderDxfId="37" totalsRowBorderDxfId="36">
  <autoFilter ref="A1:O103" xr:uid="{193B7CF3-0A59-422E-A6F8-BA75D511CEE8}"/>
  <tableColumns count="15">
    <tableColumn id="1" xr3:uid="{E4C54A15-F790-44A3-8089-5C42B31653F9}" name="Nome" dataDxfId="35"/>
    <tableColumn id="2" xr3:uid="{EEFE9670-D0CC-4C50-92D1-1CF0AA00CE84}" name="Matrícula" dataDxfId="34"/>
    <tableColumn id="15" xr3:uid="{B529FD18-F043-48B9-95EF-E23826C1D264}" name="Cargo" dataDxfId="33"/>
    <tableColumn id="14" xr3:uid="{D7DE56DD-74F8-40F6-A647-EA2828CD6FCD}" name="Setor" dataDxfId="32"/>
    <tableColumn id="13" xr3:uid="{1CCD85DD-3071-4F1C-B38F-A639025CD1E7}" name="Unidade" dataDxfId="31"/>
    <tableColumn id="5" xr3:uid="{EFB97E06-0594-4D13-8574-5C2903B821F1}" name="Risco Principal" dataDxfId="30"/>
    <tableColumn id="6" xr3:uid="{9545C647-606B-4FC0-BDC9-1A2ECA4DEEF4}" name="Periodicidade" dataDxfId="29"/>
    <tableColumn id="3" xr3:uid="{DFBA1CD2-10FE-4DBD-B1C5-4213C1F48E75}" name="Tipo" dataDxfId="28"/>
    <tableColumn id="7" xr3:uid="{00465733-678D-4AE1-8188-4AFC18A0851C}" name="Data do Último Exame" dataDxfId="27"/>
    <tableColumn id="8" xr3:uid="{F245F596-91C9-4B25-BD08-D3DAE7B7B7F3}" name="Data do Vencimento" dataDxfId="26">
      <calculatedColumnFormula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calculatedColumnFormula>
    </tableColumn>
    <tableColumn id="16" xr3:uid="{92A8A75E-B44A-48D1-8C9C-B01668DB7E37}" name="Mês Ano do Vencimento" dataDxfId="25">
      <calculatedColumnFormula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calculatedColumnFormula>
    </tableColumn>
    <tableColumn id="10" xr3:uid="{6E57E63C-463A-46CF-A277-7BDB51A125B6}" name="Dias Vencido" dataDxfId="24">
      <calculatedColumnFormula>IFERROR(Tb_funcionarios[[#This Row],[Data do Vencimento]]-TODAY(),"")</calculatedColumnFormula>
    </tableColumn>
    <tableColumn id="9" xr3:uid="{6048653F-8F27-411F-B3BA-69DDFC37A832}" name="Status" dataDxfId="23">
      <calculatedColumnFormula>IF(Tb_funcionarios[[#This Row],[Tipo]]="","Preencher dados faltantes",IF(Tb_funcionarios[[#This Row],[Tipo]]="Demissional","Funcionário desligado",IF(L2&gt;30,"Válido",IF(L2&lt;0,"Vencido",IF(L2&lt;=30,"Menos de 30 dias para vencer")))))</calculatedColumnFormula>
    </tableColumn>
    <tableColumn id="4" xr3:uid="{A81FBFFB-D7C0-40C5-9EF0-B9E60EFF56A9}" name="Apto/ Não Apto" dataDxfId="22"/>
    <tableColumn id="11" xr3:uid="{263B9927-8159-4932-8F05-46BBF5503766}" name="Agendamento" dataDxfId="21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8CDE37-FFD0-4BCF-8A9E-FA4140B45BA6}" name="Tabela2" displayName="Tabela2" ref="E21:H32" totalsRowShown="0" headerRowDxfId="14" dataDxfId="16">
  <autoFilter ref="E21:H32" xr:uid="{058CDE37-FFD0-4BCF-8A9E-FA4140B45BA6}"/>
  <tableColumns count="4">
    <tableColumn id="1" xr3:uid="{4FBA8732-C4BD-49D8-8CDD-5E49CBD0F1FE}" name="Nome" dataDxfId="20">
      <calculatedColumnFormula>OFFSET(Dinâmicas!J5,$A$35,0)</calculatedColumnFormula>
    </tableColumn>
    <tableColumn id="2" xr3:uid="{291B3A99-702A-4E28-99FB-CE53B8856FE7}" name="Setor" dataDxfId="19">
      <calculatedColumnFormula>OFFSET(Dinâmicas!K5,$A$35,0)</calculatedColumnFormula>
    </tableColumn>
    <tableColumn id="3" xr3:uid="{CCD8A935-372B-40CF-9F06-E9CA83744E3D}" name="Risco Principal" dataDxfId="18">
      <calculatedColumnFormula>OFFSET(Dinâmicas!L5,$A$35,0)</calculatedColumnFormula>
    </tableColumn>
    <tableColumn id="4" xr3:uid="{1E7CA046-442A-42E5-ADED-640304D31C6C}" name=" Vencimeto" dataDxfId="17">
      <calculatedColumnFormula>OFFSET(Dinâmicas!M5,$A$35,0)</calculatedColumnFormula>
    </tableColumn>
  </tableColumns>
  <tableStyleInfo name="Estilo de Tabela 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Mês_Ano_do_Vencimento" xr10:uid="{16AC9432-33D4-41FE-8FCF-0AA327CCEC0B}" sourceName="Mês Ano do Vencimento">
  <pivotTables>
    <pivotTable tabId="3" name="td_resumo"/>
    <pivotTable tabId="3" name="td_status"/>
    <pivotTable tabId="3" name="td_unidades"/>
    <pivotTable tabId="3" name="td_vencimentos"/>
  </pivotTables>
  <state minimalRefreshVersion="6" lastRefreshVersion="6" pivotCacheId="845693338" filterType="unknown">
    <bounds startDate="2022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Mês Ano do Vencimento 1" xr10:uid="{46FADF27-E649-46C1-8B4A-06E69D61A07A}" cache="NativeTimeline_Mês_Ano_do_Vencimento" caption="Mês Ano do Vencimento" level="2" selectionLevel="2" scrollPosition="2023-08-25T00:00:00" style="TimeSlicerStyleLight3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control" Target="../activeX/activeX1.xml"/><Relationship Id="rId7" Type="http://schemas.microsoft.com/office/2007/relationships/slicer" Target="../slicers/slicer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91A50-8068-4165-A5AD-E243862E1070}">
  <sheetPr codeName="Planilha1"/>
  <dimension ref="A1:O103"/>
  <sheetViews>
    <sheetView showGridLines="0" showRowColHeaders="0" topLeftCell="D1" workbookViewId="0">
      <pane ySplit="1" topLeftCell="A90" activePane="bottomLeft" state="frozen"/>
      <selection activeCell="D1" sqref="D1"/>
      <selection pane="bottomLeft" activeCell="M106" sqref="M106"/>
    </sheetView>
  </sheetViews>
  <sheetFormatPr defaultRowHeight="15" x14ac:dyDescent="0.25"/>
  <cols>
    <col min="1" max="1" width="22.85546875" bestFit="1" customWidth="1"/>
    <col min="2" max="2" width="10.7109375" bestFit="1" customWidth="1"/>
    <col min="3" max="3" width="58.7109375" bestFit="1" customWidth="1"/>
    <col min="4" max="4" width="31.140625" customWidth="1"/>
    <col min="5" max="5" width="10.85546875" bestFit="1" customWidth="1"/>
    <col min="6" max="6" width="11.42578125" bestFit="1" customWidth="1"/>
    <col min="7" max="7" width="11.140625" customWidth="1"/>
    <col min="8" max="8" width="19.140625" bestFit="1" customWidth="1"/>
    <col min="9" max="9" width="10.7109375" bestFit="1" customWidth="1"/>
    <col min="10" max="10" width="13" bestFit="1" customWidth="1"/>
    <col min="11" max="11" width="13" style="5" customWidth="1"/>
    <col min="12" max="12" width="13.85546875" customWidth="1"/>
    <col min="13" max="13" width="27.42578125" bestFit="1" customWidth="1"/>
    <col min="14" max="14" width="8.42578125" customWidth="1"/>
    <col min="15" max="15" width="13.28515625" customWidth="1"/>
  </cols>
  <sheetData>
    <row r="1" spans="1:15" s="6" customFormat="1" ht="45" x14ac:dyDescent="0.25">
      <c r="A1" s="7" t="s">
        <v>0</v>
      </c>
      <c r="B1" s="8" t="s">
        <v>1</v>
      </c>
      <c r="C1" s="9" t="s">
        <v>2</v>
      </c>
      <c r="D1" s="9" t="s">
        <v>3</v>
      </c>
      <c r="E1" s="9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" t="s">
        <v>9</v>
      </c>
      <c r="K1" s="11" t="s">
        <v>230</v>
      </c>
      <c r="L1" s="12" t="s">
        <v>10</v>
      </c>
      <c r="M1" s="12" t="s">
        <v>11</v>
      </c>
      <c r="N1" s="8" t="s">
        <v>12</v>
      </c>
      <c r="O1" s="13" t="s">
        <v>13</v>
      </c>
    </row>
    <row r="2" spans="1:15" x14ac:dyDescent="0.25">
      <c r="A2" s="14" t="s">
        <v>14</v>
      </c>
      <c r="B2" s="15">
        <v>23234</v>
      </c>
      <c r="C2" s="15" t="s">
        <v>15</v>
      </c>
      <c r="D2" s="15" t="s">
        <v>16</v>
      </c>
      <c r="E2" s="15" t="s">
        <v>17</v>
      </c>
      <c r="F2" s="15" t="s">
        <v>18</v>
      </c>
      <c r="G2" s="15" t="s">
        <v>19</v>
      </c>
      <c r="H2" s="15" t="s">
        <v>20</v>
      </c>
      <c r="I2" s="16">
        <v>44656</v>
      </c>
      <c r="J2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45021</v>
      </c>
      <c r="K2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45021</v>
      </c>
      <c r="L2" s="15">
        <f ca="1">IFERROR(Tb_funcionarios[[#This Row],[Data do Vencimento]]-TODAY(),"")</f>
        <v>8</v>
      </c>
      <c r="M2" s="15" t="str">
        <f>IF(Tb_funcionarios[[#This Row],[Tipo]]="","Preencher dados faltantes",IF(Tb_funcionarios[[#This Row],[Tipo]]="Demissional","Funcionário desligado",IF(L2&gt;30,"Válido",IF(L2&lt;0,"Vencido",IF(L2&lt;=30,"Menos de 30 dias para vencer")))))</f>
        <v>Funcionário desligado</v>
      </c>
      <c r="N2" s="15" t="s">
        <v>21</v>
      </c>
      <c r="O2" s="18"/>
    </row>
    <row r="3" spans="1:15" x14ac:dyDescent="0.25">
      <c r="A3" s="14" t="s">
        <v>22</v>
      </c>
      <c r="B3" s="15">
        <v>14852</v>
      </c>
      <c r="C3" s="15" t="s">
        <v>23</v>
      </c>
      <c r="D3" s="15" t="s">
        <v>24</v>
      </c>
      <c r="E3" s="15" t="s">
        <v>25</v>
      </c>
      <c r="F3" s="15" t="s">
        <v>26</v>
      </c>
      <c r="G3" s="15" t="s">
        <v>27</v>
      </c>
      <c r="H3" s="15" t="s">
        <v>28</v>
      </c>
      <c r="I3" s="16">
        <v>44593</v>
      </c>
      <c r="J3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44774</v>
      </c>
      <c r="K3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44774</v>
      </c>
      <c r="L3" s="15">
        <f ca="1">IFERROR(Tb_funcionarios[[#This Row],[Data do Vencimento]]-TODAY(),"")</f>
        <v>-239</v>
      </c>
      <c r="M3" s="15" t="str">
        <f ca="1">IF(Tb_funcionarios[[#This Row],[Tipo]]="","Preencher dados faltantes",IF(Tb_funcionarios[[#This Row],[Tipo]]="Demissional","Funcionário desligado",IF(L3&gt;30,"Válido",IF(L3&lt;0,"Vencido",IF(L3&lt;=30,"Menos de 30 dias para vencer")))))</f>
        <v>Vencido</v>
      </c>
      <c r="N3" s="15" t="s">
        <v>21</v>
      </c>
      <c r="O3" s="18" t="s">
        <v>29</v>
      </c>
    </row>
    <row r="4" spans="1:15" x14ac:dyDescent="0.25">
      <c r="A4" s="14" t="s">
        <v>30</v>
      </c>
      <c r="B4" s="15">
        <v>16549</v>
      </c>
      <c r="C4" s="15" t="s">
        <v>31</v>
      </c>
      <c r="D4" s="15" t="s">
        <v>32</v>
      </c>
      <c r="E4" s="15" t="s">
        <v>25</v>
      </c>
      <c r="F4" s="15" t="s">
        <v>18</v>
      </c>
      <c r="G4" s="15" t="s">
        <v>19</v>
      </c>
      <c r="H4" s="15" t="s">
        <v>33</v>
      </c>
      <c r="I4" s="16">
        <v>44838</v>
      </c>
      <c r="J4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45203</v>
      </c>
      <c r="K4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45203</v>
      </c>
      <c r="L4" s="15">
        <f ca="1">IFERROR(Tb_funcionarios[[#This Row],[Data do Vencimento]]-TODAY(),"")</f>
        <v>190</v>
      </c>
      <c r="M4" s="15" t="str">
        <f ca="1">IF(Tb_funcionarios[[#This Row],[Tipo]]="","Preencher dados faltantes",IF(Tb_funcionarios[[#This Row],[Tipo]]="Demissional","Funcionário desligado",IF(L4&gt;30,"Válido",IF(L4&lt;0,"Vencido",IF(L4&lt;=30,"Menos de 30 dias para vencer")))))</f>
        <v>Válido</v>
      </c>
      <c r="N4" s="15" t="s">
        <v>21</v>
      </c>
      <c r="O4" s="18"/>
    </row>
    <row r="5" spans="1:15" x14ac:dyDescent="0.25">
      <c r="A5" s="14" t="s">
        <v>34</v>
      </c>
      <c r="B5" s="15">
        <v>20890</v>
      </c>
      <c r="C5" s="15" t="s">
        <v>35</v>
      </c>
      <c r="D5" s="15" t="s">
        <v>36</v>
      </c>
      <c r="E5" s="15" t="s">
        <v>17</v>
      </c>
      <c r="F5" s="15" t="s">
        <v>37</v>
      </c>
      <c r="G5" s="15" t="s">
        <v>19</v>
      </c>
      <c r="H5" s="15" t="s">
        <v>28</v>
      </c>
      <c r="I5" s="16">
        <v>44685</v>
      </c>
      <c r="J5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45050</v>
      </c>
      <c r="K5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45050</v>
      </c>
      <c r="L5" s="15">
        <f ca="1">IFERROR(Tb_funcionarios[[#This Row],[Data do Vencimento]]-TODAY(),"")</f>
        <v>37</v>
      </c>
      <c r="M5" s="15" t="str">
        <f ca="1">IF(Tb_funcionarios[[#This Row],[Tipo]]="","Preencher dados faltantes",IF(Tb_funcionarios[[#This Row],[Tipo]]="Demissional","Funcionário desligado",IF(L5&gt;30,"Válido",IF(L5&lt;0,"Vencido",IF(L5&lt;=30,"Menos de 30 dias para vencer")))))</f>
        <v>Válido</v>
      </c>
      <c r="N5" s="15" t="s">
        <v>21</v>
      </c>
      <c r="O5" s="18"/>
    </row>
    <row r="6" spans="1:15" x14ac:dyDescent="0.25">
      <c r="A6" s="14" t="s">
        <v>38</v>
      </c>
      <c r="B6" s="15">
        <v>18960</v>
      </c>
      <c r="C6" s="15" t="s">
        <v>39</v>
      </c>
      <c r="D6" s="15" t="s">
        <v>40</v>
      </c>
      <c r="E6" s="15" t="s">
        <v>25</v>
      </c>
      <c r="F6" s="15" t="s">
        <v>18</v>
      </c>
      <c r="G6" s="15" t="s">
        <v>19</v>
      </c>
      <c r="H6" s="15" t="s">
        <v>28</v>
      </c>
      <c r="I6" s="16">
        <v>44593</v>
      </c>
      <c r="J6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44958</v>
      </c>
      <c r="K6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44958</v>
      </c>
      <c r="L6" s="15">
        <f ca="1">IFERROR(Tb_funcionarios[[#This Row],[Data do Vencimento]]-TODAY(),"")</f>
        <v>-55</v>
      </c>
      <c r="M6" s="15" t="str">
        <f ca="1">IF(Tb_funcionarios[[#This Row],[Tipo]]="","Preencher dados faltantes",IF(Tb_funcionarios[[#This Row],[Tipo]]="Demissional","Funcionário desligado",IF(L6&gt;30,"Válido",IF(L6&lt;0,"Vencido",IF(L6&lt;=30,"Menos de 30 dias para vencer")))))</f>
        <v>Vencido</v>
      </c>
      <c r="N6" s="15" t="s">
        <v>21</v>
      </c>
      <c r="O6" s="18" t="s">
        <v>29</v>
      </c>
    </row>
    <row r="7" spans="1:15" x14ac:dyDescent="0.25">
      <c r="A7" s="14" t="s">
        <v>41</v>
      </c>
      <c r="B7" s="15">
        <v>14775</v>
      </c>
      <c r="C7" s="15" t="s">
        <v>42</v>
      </c>
      <c r="D7" s="15" t="s">
        <v>43</v>
      </c>
      <c r="E7" s="15" t="s">
        <v>25</v>
      </c>
      <c r="F7" s="15" t="s">
        <v>18</v>
      </c>
      <c r="G7" s="15" t="s">
        <v>19</v>
      </c>
      <c r="H7" s="15" t="s">
        <v>28</v>
      </c>
      <c r="I7" s="16">
        <v>44840</v>
      </c>
      <c r="J7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45205</v>
      </c>
      <c r="K7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45205</v>
      </c>
      <c r="L7" s="15">
        <f ca="1">IFERROR(Tb_funcionarios[[#This Row],[Data do Vencimento]]-TODAY(),"")</f>
        <v>192</v>
      </c>
      <c r="M7" s="15" t="str">
        <f ca="1">IF(Tb_funcionarios[[#This Row],[Tipo]]="","Preencher dados faltantes",IF(Tb_funcionarios[[#This Row],[Tipo]]="Demissional","Funcionário desligado",IF(L7&gt;30,"Válido",IF(L7&lt;0,"Vencido",IF(L7&lt;=30,"Menos de 30 dias para vencer")))))</f>
        <v>Válido</v>
      </c>
      <c r="N7" s="15" t="s">
        <v>21</v>
      </c>
      <c r="O7" s="18"/>
    </row>
    <row r="8" spans="1:15" x14ac:dyDescent="0.25">
      <c r="A8" s="14" t="s">
        <v>44</v>
      </c>
      <c r="B8" s="15">
        <v>10431</v>
      </c>
      <c r="C8" s="15" t="s">
        <v>45</v>
      </c>
      <c r="D8" s="15" t="s">
        <v>43</v>
      </c>
      <c r="E8" s="15" t="s">
        <v>25</v>
      </c>
      <c r="F8" s="15" t="s">
        <v>18</v>
      </c>
      <c r="G8" s="15" t="s">
        <v>19</v>
      </c>
      <c r="H8" s="15" t="s">
        <v>28</v>
      </c>
      <c r="I8" s="16">
        <v>44664</v>
      </c>
      <c r="J8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45029</v>
      </c>
      <c r="K8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45029</v>
      </c>
      <c r="L8" s="15">
        <f ca="1">IFERROR(Tb_funcionarios[[#This Row],[Data do Vencimento]]-TODAY(),"")</f>
        <v>16</v>
      </c>
      <c r="M8" s="15" t="str">
        <f ca="1">IF(Tb_funcionarios[[#This Row],[Tipo]]="","Preencher dados faltantes",IF(Tb_funcionarios[[#This Row],[Tipo]]="Demissional","Funcionário desligado",IF(L8&gt;30,"Válido",IF(L8&lt;0,"Vencido",IF(L8&lt;=30,"Menos de 30 dias para vencer")))))</f>
        <v>Menos de 30 dias para vencer</v>
      </c>
      <c r="N8" s="15" t="s">
        <v>21</v>
      </c>
      <c r="O8" s="18"/>
    </row>
    <row r="9" spans="1:15" x14ac:dyDescent="0.25">
      <c r="A9" s="14" t="s">
        <v>46</v>
      </c>
      <c r="B9" s="15">
        <v>22376</v>
      </c>
      <c r="C9" s="15" t="s">
        <v>47</v>
      </c>
      <c r="D9" s="15" t="s">
        <v>16</v>
      </c>
      <c r="E9" s="15" t="s">
        <v>17</v>
      </c>
      <c r="F9" s="15" t="s">
        <v>18</v>
      </c>
      <c r="G9" s="15" t="s">
        <v>19</v>
      </c>
      <c r="H9" s="15" t="s">
        <v>28</v>
      </c>
      <c r="I9" s="16">
        <v>44642</v>
      </c>
      <c r="J9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45007</v>
      </c>
      <c r="K9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45007</v>
      </c>
      <c r="L9" s="15">
        <f ca="1">IFERROR(Tb_funcionarios[[#This Row],[Data do Vencimento]]-TODAY(),"")</f>
        <v>-6</v>
      </c>
      <c r="M9" s="15" t="str">
        <f ca="1">IF(Tb_funcionarios[[#This Row],[Tipo]]="","Preencher dados faltantes",IF(Tb_funcionarios[[#This Row],[Tipo]]="Demissional","Funcionário desligado",IF(L9&gt;30,"Válido",IF(L9&lt;0,"Vencido",IF(L9&lt;=30,"Menos de 30 dias para vencer")))))</f>
        <v>Vencido</v>
      </c>
      <c r="N9" s="15" t="s">
        <v>21</v>
      </c>
      <c r="O9" s="18"/>
    </row>
    <row r="10" spans="1:15" x14ac:dyDescent="0.25">
      <c r="A10" s="14" t="s">
        <v>48</v>
      </c>
      <c r="B10" s="15">
        <v>13711</v>
      </c>
      <c r="C10" s="15" t="s">
        <v>42</v>
      </c>
      <c r="D10" s="15" t="s">
        <v>43</v>
      </c>
      <c r="E10" s="15" t="s">
        <v>25</v>
      </c>
      <c r="F10" s="15" t="s">
        <v>18</v>
      </c>
      <c r="G10" s="15" t="s">
        <v>19</v>
      </c>
      <c r="H10" s="15" t="s">
        <v>28</v>
      </c>
      <c r="I10" s="16">
        <v>44838</v>
      </c>
      <c r="J10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45203</v>
      </c>
      <c r="K10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45203</v>
      </c>
      <c r="L10" s="15">
        <f ca="1">IFERROR(Tb_funcionarios[[#This Row],[Data do Vencimento]]-TODAY(),"")</f>
        <v>190</v>
      </c>
      <c r="M10" s="15" t="str">
        <f ca="1">IF(Tb_funcionarios[[#This Row],[Tipo]]="","Preencher dados faltantes",IF(Tb_funcionarios[[#This Row],[Tipo]]="Demissional","Funcionário desligado",IF(L10&gt;30,"Válido",IF(L10&lt;0,"Vencido",IF(L10&lt;=30,"Menos de 30 dias para vencer")))))</f>
        <v>Válido</v>
      </c>
      <c r="N10" s="15" t="s">
        <v>21</v>
      </c>
      <c r="O10" s="18"/>
    </row>
    <row r="11" spans="1:15" x14ac:dyDescent="0.25">
      <c r="A11" s="14" t="s">
        <v>49</v>
      </c>
      <c r="B11" s="15">
        <v>14313</v>
      </c>
      <c r="C11" s="15" t="s">
        <v>50</v>
      </c>
      <c r="D11" s="15" t="s">
        <v>51</v>
      </c>
      <c r="E11" s="15" t="s">
        <v>17</v>
      </c>
      <c r="F11" s="15" t="s">
        <v>18</v>
      </c>
      <c r="G11" s="15" t="s">
        <v>19</v>
      </c>
      <c r="H11" s="15" t="s">
        <v>28</v>
      </c>
      <c r="I11" s="16">
        <v>44691</v>
      </c>
      <c r="J11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45056</v>
      </c>
      <c r="K11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45056</v>
      </c>
      <c r="L11" s="15">
        <f ca="1">IFERROR(Tb_funcionarios[[#This Row],[Data do Vencimento]]-TODAY(),"")</f>
        <v>43</v>
      </c>
      <c r="M11" s="15" t="str">
        <f ca="1">IF(Tb_funcionarios[[#This Row],[Tipo]]="","Preencher dados faltantes",IF(Tb_funcionarios[[#This Row],[Tipo]]="Demissional","Funcionário desligado",IF(L11&gt;30,"Válido",IF(L11&lt;0,"Vencido",IF(L11&lt;=30,"Menos de 30 dias para vencer")))))</f>
        <v>Válido</v>
      </c>
      <c r="N11" s="15" t="s">
        <v>21</v>
      </c>
      <c r="O11" s="18"/>
    </row>
    <row r="12" spans="1:15" x14ac:dyDescent="0.25">
      <c r="A12" s="14" t="s">
        <v>52</v>
      </c>
      <c r="B12" s="15">
        <v>12601</v>
      </c>
      <c r="C12" s="15" t="s">
        <v>42</v>
      </c>
      <c r="D12" s="15" t="s">
        <v>53</v>
      </c>
      <c r="E12" s="15" t="s">
        <v>17</v>
      </c>
      <c r="F12" s="15" t="s">
        <v>18</v>
      </c>
      <c r="G12" s="15" t="s">
        <v>19</v>
      </c>
      <c r="H12" s="15" t="s">
        <v>28</v>
      </c>
      <c r="I12" s="16">
        <v>44571</v>
      </c>
      <c r="J12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44936</v>
      </c>
      <c r="K12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44936</v>
      </c>
      <c r="L12" s="15">
        <f ca="1">IFERROR(Tb_funcionarios[[#This Row],[Data do Vencimento]]-TODAY(),"")</f>
        <v>-77</v>
      </c>
      <c r="M12" s="15" t="str">
        <f ca="1">IF(Tb_funcionarios[[#This Row],[Tipo]]="","Preencher dados faltantes",IF(Tb_funcionarios[[#This Row],[Tipo]]="Demissional","Funcionário desligado",IF(L12&gt;30,"Válido",IF(L12&lt;0,"Vencido",IF(L12&lt;=30,"Menos de 30 dias para vencer")))))</f>
        <v>Vencido</v>
      </c>
      <c r="N12" s="15" t="s">
        <v>21</v>
      </c>
      <c r="O12" s="18" t="s">
        <v>29</v>
      </c>
    </row>
    <row r="13" spans="1:15" x14ac:dyDescent="0.25">
      <c r="A13" s="14" t="s">
        <v>54</v>
      </c>
      <c r="B13" s="15">
        <v>21388</v>
      </c>
      <c r="C13" s="15" t="s">
        <v>42</v>
      </c>
      <c r="D13" s="15" t="s">
        <v>55</v>
      </c>
      <c r="E13" s="15" t="s">
        <v>25</v>
      </c>
      <c r="F13" s="15" t="s">
        <v>18</v>
      </c>
      <c r="G13" s="15" t="s">
        <v>19</v>
      </c>
      <c r="H13" s="15" t="s">
        <v>28</v>
      </c>
      <c r="I13" s="16">
        <v>44749</v>
      </c>
      <c r="J13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45114</v>
      </c>
      <c r="K13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45114</v>
      </c>
      <c r="L13" s="15">
        <f ca="1">IFERROR(Tb_funcionarios[[#This Row],[Data do Vencimento]]-TODAY(),"")</f>
        <v>101</v>
      </c>
      <c r="M13" s="15" t="str">
        <f ca="1">IF(Tb_funcionarios[[#This Row],[Tipo]]="","Preencher dados faltantes",IF(Tb_funcionarios[[#This Row],[Tipo]]="Demissional","Funcionário desligado",IF(L13&gt;30,"Válido",IF(L13&lt;0,"Vencido",IF(L13&lt;=30,"Menos de 30 dias para vencer")))))</f>
        <v>Válido</v>
      </c>
      <c r="N13" s="15" t="s">
        <v>21</v>
      </c>
      <c r="O13" s="18"/>
    </row>
    <row r="14" spans="1:15" x14ac:dyDescent="0.25">
      <c r="A14" s="14" t="s">
        <v>56</v>
      </c>
      <c r="B14" s="15">
        <v>16554</v>
      </c>
      <c r="C14" s="15" t="s">
        <v>15</v>
      </c>
      <c r="D14" s="15" t="s">
        <v>16</v>
      </c>
      <c r="E14" s="15" t="s">
        <v>17</v>
      </c>
      <c r="F14" s="15" t="s">
        <v>57</v>
      </c>
      <c r="G14" s="15" t="s">
        <v>27</v>
      </c>
      <c r="H14" s="15" t="s">
        <v>20</v>
      </c>
      <c r="I14" s="16">
        <v>44721</v>
      </c>
      <c r="J14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44904</v>
      </c>
      <c r="K14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44904</v>
      </c>
      <c r="L14" s="15">
        <f ca="1">IFERROR(Tb_funcionarios[[#This Row],[Data do Vencimento]]-TODAY(),"")</f>
        <v>-109</v>
      </c>
      <c r="M14" s="15" t="str">
        <f>IF(Tb_funcionarios[[#This Row],[Tipo]]="","Preencher dados faltantes",IF(Tb_funcionarios[[#This Row],[Tipo]]="Demissional","Funcionário desligado",IF(L14&gt;30,"Válido",IF(L14&lt;0,"Vencido",IF(L14&lt;=30,"Menos de 30 dias para vencer")))))</f>
        <v>Funcionário desligado</v>
      </c>
      <c r="N14" s="15" t="s">
        <v>21</v>
      </c>
      <c r="O14" s="18" t="s">
        <v>29</v>
      </c>
    </row>
    <row r="15" spans="1:15" x14ac:dyDescent="0.25">
      <c r="A15" s="14" t="s">
        <v>58</v>
      </c>
      <c r="B15" s="15">
        <v>22126</v>
      </c>
      <c r="C15" s="15" t="s">
        <v>59</v>
      </c>
      <c r="D15" s="15" t="s">
        <v>60</v>
      </c>
      <c r="E15" s="15" t="s">
        <v>17</v>
      </c>
      <c r="F15" s="15" t="s">
        <v>18</v>
      </c>
      <c r="G15" s="15" t="s">
        <v>19</v>
      </c>
      <c r="H15" s="15" t="s">
        <v>61</v>
      </c>
      <c r="I15" s="16">
        <v>44840</v>
      </c>
      <c r="J15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45205</v>
      </c>
      <c r="K15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45205</v>
      </c>
      <c r="L15" s="15">
        <f ca="1">IFERROR(Tb_funcionarios[[#This Row],[Data do Vencimento]]-TODAY(),"")</f>
        <v>192</v>
      </c>
      <c r="M15" s="15" t="str">
        <f ca="1">IF(Tb_funcionarios[[#This Row],[Tipo]]="","Preencher dados faltantes",IF(Tb_funcionarios[[#This Row],[Tipo]]="Demissional","Funcionário desligado",IF(L15&gt;30,"Válido",IF(L15&lt;0,"Vencido",IF(L15&lt;=30,"Menos de 30 dias para vencer")))))</f>
        <v>Válido</v>
      </c>
      <c r="N15" s="15" t="s">
        <v>21</v>
      </c>
      <c r="O15" s="18"/>
    </row>
    <row r="16" spans="1:15" x14ac:dyDescent="0.25">
      <c r="A16" s="14" t="s">
        <v>62</v>
      </c>
      <c r="B16" s="15">
        <v>15874</v>
      </c>
      <c r="C16" s="15" t="s">
        <v>63</v>
      </c>
      <c r="D16" s="15" t="s">
        <v>211</v>
      </c>
      <c r="E16" s="15" t="s">
        <v>17</v>
      </c>
      <c r="F16" s="15" t="s">
        <v>18</v>
      </c>
      <c r="G16" s="15" t="s">
        <v>19</v>
      </c>
      <c r="H16" s="15" t="s">
        <v>28</v>
      </c>
      <c r="I16" s="16">
        <v>44593</v>
      </c>
      <c r="J16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44958</v>
      </c>
      <c r="K16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44958</v>
      </c>
      <c r="L16" s="15">
        <f ca="1">IFERROR(Tb_funcionarios[[#This Row],[Data do Vencimento]]-TODAY(),"")</f>
        <v>-55</v>
      </c>
      <c r="M16" s="15" t="str">
        <f ca="1">IF(Tb_funcionarios[[#This Row],[Tipo]]="","Preencher dados faltantes",IF(Tb_funcionarios[[#This Row],[Tipo]]="Demissional","Funcionário desligado",IF(L16&gt;30,"Válido",IF(L16&lt;0,"Vencido",IF(L16&lt;=30,"Menos de 30 dias para vencer")))))</f>
        <v>Vencido</v>
      </c>
      <c r="N16" s="15" t="s">
        <v>21</v>
      </c>
      <c r="O16" s="18">
        <v>44970</v>
      </c>
    </row>
    <row r="17" spans="1:15" x14ac:dyDescent="0.25">
      <c r="A17" s="14" t="s">
        <v>64</v>
      </c>
      <c r="B17" s="15">
        <v>18025</v>
      </c>
      <c r="C17" s="15" t="s">
        <v>42</v>
      </c>
      <c r="D17" s="15" t="s">
        <v>60</v>
      </c>
      <c r="E17" s="15" t="s">
        <v>17</v>
      </c>
      <c r="F17" s="15" t="s">
        <v>18</v>
      </c>
      <c r="G17" s="15" t="s">
        <v>19</v>
      </c>
      <c r="H17" s="15" t="s">
        <v>28</v>
      </c>
      <c r="I17" s="16">
        <v>44691</v>
      </c>
      <c r="J17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45056</v>
      </c>
      <c r="K17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45056</v>
      </c>
      <c r="L17" s="15">
        <f ca="1">IFERROR(Tb_funcionarios[[#This Row],[Data do Vencimento]]-TODAY(),"")</f>
        <v>43</v>
      </c>
      <c r="M17" s="15" t="str">
        <f ca="1">IF(Tb_funcionarios[[#This Row],[Tipo]]="","Preencher dados faltantes",IF(Tb_funcionarios[[#This Row],[Tipo]]="Demissional","Funcionário desligado",IF(L17&gt;30,"Válido",IF(L17&lt;0,"Vencido",IF(L17&lt;=30,"Menos de 30 dias para vencer")))))</f>
        <v>Válido</v>
      </c>
      <c r="N17" s="15" t="s">
        <v>21</v>
      </c>
      <c r="O17" s="18"/>
    </row>
    <row r="18" spans="1:15" x14ac:dyDescent="0.25">
      <c r="A18" s="14" t="s">
        <v>65</v>
      </c>
      <c r="B18" s="15">
        <v>17276</v>
      </c>
      <c r="C18" s="15" t="s">
        <v>66</v>
      </c>
      <c r="D18" s="15" t="s">
        <v>67</v>
      </c>
      <c r="E18" s="15" t="s">
        <v>25</v>
      </c>
      <c r="F18" s="15" t="s">
        <v>37</v>
      </c>
      <c r="G18" s="15" t="s">
        <v>19</v>
      </c>
      <c r="H18" s="15" t="s">
        <v>28</v>
      </c>
      <c r="I18" s="16">
        <v>44754</v>
      </c>
      <c r="J18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45119</v>
      </c>
      <c r="K18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45119</v>
      </c>
      <c r="L18" s="15">
        <f ca="1">IFERROR(Tb_funcionarios[[#This Row],[Data do Vencimento]]-TODAY(),"")</f>
        <v>106</v>
      </c>
      <c r="M18" s="15" t="str">
        <f ca="1">IF(Tb_funcionarios[[#This Row],[Tipo]]="","Preencher dados faltantes",IF(Tb_funcionarios[[#This Row],[Tipo]]="Demissional","Funcionário desligado",IF(L18&gt;30,"Válido",IF(L18&lt;0,"Vencido",IF(L18&lt;=30,"Menos de 30 dias para vencer")))))</f>
        <v>Válido</v>
      </c>
      <c r="N18" s="15" t="s">
        <v>21</v>
      </c>
      <c r="O18" s="18"/>
    </row>
    <row r="19" spans="1:15" x14ac:dyDescent="0.25">
      <c r="A19" s="14" t="s">
        <v>68</v>
      </c>
      <c r="B19" s="15">
        <v>20193</v>
      </c>
      <c r="C19" s="15" t="s">
        <v>50</v>
      </c>
      <c r="D19" s="15" t="s">
        <v>67</v>
      </c>
      <c r="E19" s="15" t="s">
        <v>25</v>
      </c>
      <c r="F19" s="15" t="s">
        <v>37</v>
      </c>
      <c r="G19" s="15" t="s">
        <v>19</v>
      </c>
      <c r="H19" s="15" t="s">
        <v>28</v>
      </c>
      <c r="I19" s="16">
        <v>44685</v>
      </c>
      <c r="J19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45050</v>
      </c>
      <c r="K19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45050</v>
      </c>
      <c r="L19" s="15">
        <f ca="1">IFERROR(Tb_funcionarios[[#This Row],[Data do Vencimento]]-TODAY(),"")</f>
        <v>37</v>
      </c>
      <c r="M19" s="15" t="str">
        <f ca="1">IF(Tb_funcionarios[[#This Row],[Tipo]]="","Preencher dados faltantes",IF(Tb_funcionarios[[#This Row],[Tipo]]="Demissional","Funcionário desligado",IF(L19&gt;30,"Válido",IF(L19&lt;0,"Vencido",IF(L19&lt;=30,"Menos de 30 dias para vencer")))))</f>
        <v>Válido</v>
      </c>
      <c r="N19" s="15" t="s">
        <v>21</v>
      </c>
      <c r="O19" s="18"/>
    </row>
    <row r="20" spans="1:15" x14ac:dyDescent="0.25">
      <c r="A20" s="14" t="s">
        <v>69</v>
      </c>
      <c r="B20" s="15">
        <v>24229</v>
      </c>
      <c r="C20" s="15" t="s">
        <v>70</v>
      </c>
      <c r="D20" s="15" t="s">
        <v>71</v>
      </c>
      <c r="E20" s="15" t="s">
        <v>17</v>
      </c>
      <c r="F20" s="15" t="s">
        <v>18</v>
      </c>
      <c r="G20" s="15" t="s">
        <v>19</v>
      </c>
      <c r="H20" s="15" t="s">
        <v>28</v>
      </c>
      <c r="I20" s="16">
        <v>44579</v>
      </c>
      <c r="J20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44944</v>
      </c>
      <c r="K20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44944</v>
      </c>
      <c r="L20" s="15">
        <f ca="1">IFERROR(Tb_funcionarios[[#This Row],[Data do Vencimento]]-TODAY(),"")</f>
        <v>-69</v>
      </c>
      <c r="M20" s="15" t="str">
        <f ca="1">IF(Tb_funcionarios[[#This Row],[Tipo]]="","Preencher dados faltantes",IF(Tb_funcionarios[[#This Row],[Tipo]]="Demissional","Funcionário desligado",IF(L20&gt;30,"Válido",IF(L20&lt;0,"Vencido",IF(L20&lt;=30,"Menos de 30 dias para vencer")))))</f>
        <v>Vencido</v>
      </c>
      <c r="N20" s="15" t="s">
        <v>21</v>
      </c>
      <c r="O20" s="18" t="s">
        <v>29</v>
      </c>
    </row>
    <row r="21" spans="1:15" x14ac:dyDescent="0.25">
      <c r="A21" s="14" t="s">
        <v>72</v>
      </c>
      <c r="B21" s="15">
        <v>20992</v>
      </c>
      <c r="C21" s="15" t="s">
        <v>42</v>
      </c>
      <c r="D21" s="15" t="s">
        <v>73</v>
      </c>
      <c r="E21" s="15" t="s">
        <v>25</v>
      </c>
      <c r="F21" s="15" t="s">
        <v>18</v>
      </c>
      <c r="G21" s="15" t="s">
        <v>19</v>
      </c>
      <c r="H21" s="15" t="s">
        <v>28</v>
      </c>
      <c r="I21" s="16">
        <v>44874</v>
      </c>
      <c r="J21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45239</v>
      </c>
      <c r="K21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45239</v>
      </c>
      <c r="L21" s="15">
        <f ca="1">IFERROR(Tb_funcionarios[[#This Row],[Data do Vencimento]]-TODAY(),"")</f>
        <v>226</v>
      </c>
      <c r="M21" s="15" t="str">
        <f ca="1">IF(Tb_funcionarios[[#This Row],[Tipo]]="","Preencher dados faltantes",IF(Tb_funcionarios[[#This Row],[Tipo]]="Demissional","Funcionário desligado",IF(L21&gt;30,"Válido",IF(L21&lt;0,"Vencido",IF(L21&lt;=30,"Menos de 30 dias para vencer")))))</f>
        <v>Válido</v>
      </c>
      <c r="N21" s="15" t="s">
        <v>21</v>
      </c>
      <c r="O21" s="18"/>
    </row>
    <row r="22" spans="1:15" x14ac:dyDescent="0.25">
      <c r="A22" s="14" t="s">
        <v>74</v>
      </c>
      <c r="B22" s="15">
        <v>24702</v>
      </c>
      <c r="C22" s="15" t="s">
        <v>42</v>
      </c>
      <c r="D22" s="15" t="s">
        <v>55</v>
      </c>
      <c r="E22" s="15" t="s">
        <v>25</v>
      </c>
      <c r="F22" s="15" t="s">
        <v>18</v>
      </c>
      <c r="G22" s="15" t="s">
        <v>19</v>
      </c>
      <c r="H22" s="15" t="s">
        <v>61</v>
      </c>
      <c r="I22" s="16">
        <v>44749</v>
      </c>
      <c r="J22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45114</v>
      </c>
      <c r="K22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45114</v>
      </c>
      <c r="L22" s="15">
        <f ca="1">IFERROR(Tb_funcionarios[[#This Row],[Data do Vencimento]]-TODAY(),"")</f>
        <v>101</v>
      </c>
      <c r="M22" s="15" t="str">
        <f ca="1">IF(Tb_funcionarios[[#This Row],[Tipo]]="","Preencher dados faltantes",IF(Tb_funcionarios[[#This Row],[Tipo]]="Demissional","Funcionário desligado",IF(L22&gt;30,"Válido",IF(L22&lt;0,"Vencido",IF(L22&lt;=30,"Menos de 30 dias para vencer")))))</f>
        <v>Válido</v>
      </c>
      <c r="N22" s="15" t="s">
        <v>21</v>
      </c>
      <c r="O22" s="18"/>
    </row>
    <row r="23" spans="1:15" x14ac:dyDescent="0.25">
      <c r="A23" s="14" t="s">
        <v>75</v>
      </c>
      <c r="B23" s="15">
        <v>22682</v>
      </c>
      <c r="C23" s="15" t="s">
        <v>42</v>
      </c>
      <c r="D23" s="15" t="s">
        <v>16</v>
      </c>
      <c r="E23" s="15" t="s">
        <v>17</v>
      </c>
      <c r="F23" s="15" t="s">
        <v>18</v>
      </c>
      <c r="G23" s="15" t="s">
        <v>19</v>
      </c>
      <c r="H23" s="15" t="s">
        <v>28</v>
      </c>
      <c r="I23" s="16">
        <v>44642</v>
      </c>
      <c r="J23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45007</v>
      </c>
      <c r="K23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45007</v>
      </c>
      <c r="L23" s="15">
        <f ca="1">IFERROR(Tb_funcionarios[[#This Row],[Data do Vencimento]]-TODAY(),"")</f>
        <v>-6</v>
      </c>
      <c r="M23" s="15" t="str">
        <f ca="1">IF(Tb_funcionarios[[#This Row],[Tipo]]="","Preencher dados faltantes",IF(Tb_funcionarios[[#This Row],[Tipo]]="Demissional","Funcionário desligado",IF(L23&gt;30,"Válido",IF(L23&lt;0,"Vencido",IF(L23&lt;=30,"Menos de 30 dias para vencer")))))</f>
        <v>Vencido</v>
      </c>
      <c r="N23" s="15" t="s">
        <v>21</v>
      </c>
      <c r="O23" s="18"/>
    </row>
    <row r="24" spans="1:15" x14ac:dyDescent="0.25">
      <c r="A24" s="14" t="s">
        <v>76</v>
      </c>
      <c r="B24" s="15">
        <v>19079</v>
      </c>
      <c r="C24" s="15" t="s">
        <v>42</v>
      </c>
      <c r="D24" s="15" t="s">
        <v>16</v>
      </c>
      <c r="E24" s="15" t="s">
        <v>17</v>
      </c>
      <c r="F24" s="15" t="s">
        <v>57</v>
      </c>
      <c r="G24" s="15" t="s">
        <v>27</v>
      </c>
      <c r="H24" s="15" t="s">
        <v>28</v>
      </c>
      <c r="I24" s="16">
        <v>44595</v>
      </c>
      <c r="J24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44776</v>
      </c>
      <c r="K24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44776</v>
      </c>
      <c r="L24" s="15">
        <f ca="1">IFERROR(Tb_funcionarios[[#This Row],[Data do Vencimento]]-TODAY(),"")</f>
        <v>-237</v>
      </c>
      <c r="M24" s="15" t="str">
        <f ca="1">IF(Tb_funcionarios[[#This Row],[Tipo]]="","Preencher dados faltantes",IF(Tb_funcionarios[[#This Row],[Tipo]]="Demissional","Funcionário desligado",IF(L24&gt;30,"Válido",IF(L24&lt;0,"Vencido",IF(L24&lt;=30,"Menos de 30 dias para vencer")))))</f>
        <v>Vencido</v>
      </c>
      <c r="N24" s="15" t="s">
        <v>21</v>
      </c>
      <c r="O24" s="18" t="s">
        <v>29</v>
      </c>
    </row>
    <row r="25" spans="1:15" x14ac:dyDescent="0.25">
      <c r="A25" s="14" t="s">
        <v>77</v>
      </c>
      <c r="B25" s="15">
        <v>23454</v>
      </c>
      <c r="C25" s="15" t="s">
        <v>78</v>
      </c>
      <c r="D25" s="15" t="s">
        <v>79</v>
      </c>
      <c r="E25" s="15" t="s">
        <v>17</v>
      </c>
      <c r="F25" s="15" t="s">
        <v>18</v>
      </c>
      <c r="G25" s="15" t="s">
        <v>19</v>
      </c>
      <c r="H25" s="15" t="s">
        <v>61</v>
      </c>
      <c r="I25" s="16">
        <v>44841</v>
      </c>
      <c r="J25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45206</v>
      </c>
      <c r="K25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45206</v>
      </c>
      <c r="L25" s="15">
        <f ca="1">IFERROR(Tb_funcionarios[[#This Row],[Data do Vencimento]]-TODAY(),"")</f>
        <v>193</v>
      </c>
      <c r="M25" s="15" t="str">
        <f ca="1">IF(Tb_funcionarios[[#This Row],[Tipo]]="","Preencher dados faltantes",IF(Tb_funcionarios[[#This Row],[Tipo]]="Demissional","Funcionário desligado",IF(L25&gt;30,"Válido",IF(L25&lt;0,"Vencido",IF(L25&lt;=30,"Menos de 30 dias para vencer")))))</f>
        <v>Válido</v>
      </c>
      <c r="N25" s="15" t="s">
        <v>21</v>
      </c>
      <c r="O25" s="18"/>
    </row>
    <row r="26" spans="1:15" x14ac:dyDescent="0.25">
      <c r="A26" s="14" t="s">
        <v>80</v>
      </c>
      <c r="B26" s="15">
        <v>16624</v>
      </c>
      <c r="C26" s="15" t="s">
        <v>42</v>
      </c>
      <c r="D26" s="15" t="s">
        <v>43</v>
      </c>
      <c r="E26" s="15" t="s">
        <v>25</v>
      </c>
      <c r="F26" s="15" t="s">
        <v>18</v>
      </c>
      <c r="G26" s="15" t="s">
        <v>19</v>
      </c>
      <c r="H26" s="15" t="s">
        <v>28</v>
      </c>
      <c r="I26" s="16">
        <v>44691</v>
      </c>
      <c r="J26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45056</v>
      </c>
      <c r="K26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45056</v>
      </c>
      <c r="L26" s="15">
        <f ca="1">IFERROR(Tb_funcionarios[[#This Row],[Data do Vencimento]]-TODAY(),"")</f>
        <v>43</v>
      </c>
      <c r="M26" s="15" t="str">
        <f ca="1">IF(Tb_funcionarios[[#This Row],[Tipo]]="","Preencher dados faltantes",IF(Tb_funcionarios[[#This Row],[Tipo]]="Demissional","Funcionário desligado",IF(L26&gt;30,"Válido",IF(L26&lt;0,"Vencido",IF(L26&lt;=30,"Menos de 30 dias para vencer")))))</f>
        <v>Válido</v>
      </c>
      <c r="N26" s="15" t="s">
        <v>21</v>
      </c>
      <c r="O26" s="18"/>
    </row>
    <row r="27" spans="1:15" x14ac:dyDescent="0.25">
      <c r="A27" s="14" t="s">
        <v>81</v>
      </c>
      <c r="B27" s="15">
        <v>15902</v>
      </c>
      <c r="C27" s="15" t="s">
        <v>82</v>
      </c>
      <c r="D27" s="15" t="s">
        <v>83</v>
      </c>
      <c r="E27" s="15" t="s">
        <v>25</v>
      </c>
      <c r="F27" s="15" t="s">
        <v>26</v>
      </c>
      <c r="G27" s="15" t="s">
        <v>27</v>
      </c>
      <c r="H27" s="15" t="s">
        <v>28</v>
      </c>
      <c r="I27" s="16">
        <v>44763</v>
      </c>
      <c r="J27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44947</v>
      </c>
      <c r="K27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44947</v>
      </c>
      <c r="L27" s="15">
        <f ca="1">IFERROR(Tb_funcionarios[[#This Row],[Data do Vencimento]]-TODAY(),"")</f>
        <v>-66</v>
      </c>
      <c r="M27" s="15" t="str">
        <f ca="1">IF(Tb_funcionarios[[#This Row],[Tipo]]="","Preencher dados faltantes",IF(Tb_funcionarios[[#This Row],[Tipo]]="Demissional","Funcionário desligado",IF(L27&gt;30,"Válido",IF(L27&lt;0,"Vencido",IF(L27&lt;=30,"Menos de 30 dias para vencer")))))</f>
        <v>Vencido</v>
      </c>
      <c r="N27" s="15" t="s">
        <v>21</v>
      </c>
      <c r="O27" s="18" t="s">
        <v>29</v>
      </c>
    </row>
    <row r="28" spans="1:15" x14ac:dyDescent="0.25">
      <c r="A28" s="14" t="s">
        <v>84</v>
      </c>
      <c r="B28" s="15">
        <v>14551</v>
      </c>
      <c r="C28" s="15" t="s">
        <v>85</v>
      </c>
      <c r="D28" s="15" t="s">
        <v>86</v>
      </c>
      <c r="E28" s="15" t="s">
        <v>17</v>
      </c>
      <c r="F28" s="15" t="s">
        <v>37</v>
      </c>
      <c r="G28" s="15" t="s">
        <v>19</v>
      </c>
      <c r="H28" s="15" t="s">
        <v>28</v>
      </c>
      <c r="I28" s="16">
        <v>44685</v>
      </c>
      <c r="J28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45050</v>
      </c>
      <c r="K28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45050</v>
      </c>
      <c r="L28" s="15">
        <f ca="1">IFERROR(Tb_funcionarios[[#This Row],[Data do Vencimento]]-TODAY(),"")</f>
        <v>37</v>
      </c>
      <c r="M28" s="15" t="str">
        <f ca="1">IF(Tb_funcionarios[[#This Row],[Tipo]]="","Preencher dados faltantes",IF(Tb_funcionarios[[#This Row],[Tipo]]="Demissional","Funcionário desligado",IF(L28&gt;30,"Válido",IF(L28&lt;0,"Vencido",IF(L28&lt;=30,"Menos de 30 dias para vencer")))))</f>
        <v>Válido</v>
      </c>
      <c r="N28" s="15" t="s">
        <v>21</v>
      </c>
      <c r="O28" s="18"/>
    </row>
    <row r="29" spans="1:15" x14ac:dyDescent="0.25">
      <c r="A29" s="14" t="s">
        <v>87</v>
      </c>
      <c r="B29" s="15">
        <v>20207</v>
      </c>
      <c r="C29" s="15" t="s">
        <v>88</v>
      </c>
      <c r="D29" s="15" t="s">
        <v>43</v>
      </c>
      <c r="E29" s="15" t="s">
        <v>25</v>
      </c>
      <c r="F29" s="15" t="s">
        <v>18</v>
      </c>
      <c r="G29" s="15" t="s">
        <v>19</v>
      </c>
      <c r="H29" s="15" t="s">
        <v>28</v>
      </c>
      <c r="I29" s="16">
        <v>44733</v>
      </c>
      <c r="J29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45098</v>
      </c>
      <c r="K29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45098</v>
      </c>
      <c r="L29" s="15">
        <f ca="1">IFERROR(Tb_funcionarios[[#This Row],[Data do Vencimento]]-TODAY(),"")</f>
        <v>85</v>
      </c>
      <c r="M29" s="15" t="str">
        <f ca="1">IF(Tb_funcionarios[[#This Row],[Tipo]]="","Preencher dados faltantes",IF(Tb_funcionarios[[#This Row],[Tipo]]="Demissional","Funcionário desligado",IF(L29&gt;30,"Válido",IF(L29&lt;0,"Vencido",IF(L29&lt;=30,"Menos de 30 dias para vencer")))))</f>
        <v>Válido</v>
      </c>
      <c r="N29" s="15" t="s">
        <v>21</v>
      </c>
      <c r="O29" s="18"/>
    </row>
    <row r="30" spans="1:15" x14ac:dyDescent="0.25">
      <c r="A30" s="14" t="s">
        <v>89</v>
      </c>
      <c r="B30" s="15">
        <v>17826</v>
      </c>
      <c r="C30" s="15" t="s">
        <v>70</v>
      </c>
      <c r="D30" s="15" t="s">
        <v>71</v>
      </c>
      <c r="E30" s="15" t="s">
        <v>17</v>
      </c>
      <c r="F30" s="15" t="s">
        <v>18</v>
      </c>
      <c r="G30" s="15" t="s">
        <v>19</v>
      </c>
      <c r="H30" s="15" t="s">
        <v>28</v>
      </c>
      <c r="I30" s="16">
        <v>44596</v>
      </c>
      <c r="J30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44961</v>
      </c>
      <c r="K30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44961</v>
      </c>
      <c r="L30" s="15">
        <f ca="1">IFERROR(Tb_funcionarios[[#This Row],[Data do Vencimento]]-TODAY(),"")</f>
        <v>-52</v>
      </c>
      <c r="M30" s="15" t="str">
        <f ca="1">IF(Tb_funcionarios[[#This Row],[Tipo]]="","Preencher dados faltantes",IF(Tb_funcionarios[[#This Row],[Tipo]]="Demissional","Funcionário desligado",IF(L30&gt;30,"Válido",IF(L30&lt;0,"Vencido",IF(L30&lt;=30,"Menos de 30 dias para vencer")))))</f>
        <v>Vencido</v>
      </c>
      <c r="N30" s="15" t="s">
        <v>21</v>
      </c>
      <c r="O30" s="18">
        <v>44972</v>
      </c>
    </row>
    <row r="31" spans="1:15" x14ac:dyDescent="0.25">
      <c r="A31" s="14" t="s">
        <v>90</v>
      </c>
      <c r="B31" s="15">
        <v>12840</v>
      </c>
      <c r="C31" s="15" t="s">
        <v>42</v>
      </c>
      <c r="D31" s="15" t="s">
        <v>32</v>
      </c>
      <c r="E31" s="15" t="s">
        <v>25</v>
      </c>
      <c r="F31" s="15" t="s">
        <v>18</v>
      </c>
      <c r="G31" s="15" t="s">
        <v>19</v>
      </c>
      <c r="H31" s="15" t="s">
        <v>28</v>
      </c>
      <c r="I31" s="16">
        <v>44888</v>
      </c>
      <c r="J31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45253</v>
      </c>
      <c r="K31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45253</v>
      </c>
      <c r="L31" s="15">
        <f ca="1">IFERROR(Tb_funcionarios[[#This Row],[Data do Vencimento]]-TODAY(),"")</f>
        <v>240</v>
      </c>
      <c r="M31" s="15" t="str">
        <f ca="1">IF(Tb_funcionarios[[#This Row],[Tipo]]="","Preencher dados faltantes",IF(Tb_funcionarios[[#This Row],[Tipo]]="Demissional","Funcionário desligado",IF(L31&gt;30,"Válido",IF(L31&lt;0,"Vencido",IF(L31&lt;=30,"Menos de 30 dias para vencer")))))</f>
        <v>Válido</v>
      </c>
      <c r="N31" s="15" t="s">
        <v>21</v>
      </c>
      <c r="O31" s="18"/>
    </row>
    <row r="32" spans="1:15" x14ac:dyDescent="0.25">
      <c r="A32" s="14" t="s">
        <v>91</v>
      </c>
      <c r="B32" s="15">
        <v>13379</v>
      </c>
      <c r="C32" s="15" t="s">
        <v>42</v>
      </c>
      <c r="D32" s="15" t="s">
        <v>32</v>
      </c>
      <c r="E32" s="15" t="s">
        <v>25</v>
      </c>
      <c r="F32" s="15" t="s">
        <v>18</v>
      </c>
      <c r="G32" s="15" t="s">
        <v>19</v>
      </c>
      <c r="H32" s="15" t="s">
        <v>28</v>
      </c>
      <c r="I32" s="16">
        <v>44874</v>
      </c>
      <c r="J32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45239</v>
      </c>
      <c r="K32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45239</v>
      </c>
      <c r="L32" s="15">
        <f ca="1">IFERROR(Tb_funcionarios[[#This Row],[Data do Vencimento]]-TODAY(),"")</f>
        <v>226</v>
      </c>
      <c r="M32" s="15" t="str">
        <f ca="1">IF(Tb_funcionarios[[#This Row],[Tipo]]="","Preencher dados faltantes",IF(Tb_funcionarios[[#This Row],[Tipo]]="Demissional","Funcionário desligado",IF(L32&gt;30,"Válido",IF(L32&lt;0,"Vencido",IF(L32&lt;=30,"Menos de 30 dias para vencer")))))</f>
        <v>Válido</v>
      </c>
      <c r="N32" s="15" t="s">
        <v>21</v>
      </c>
      <c r="O32" s="18"/>
    </row>
    <row r="33" spans="1:15" x14ac:dyDescent="0.25">
      <c r="A33" s="14" t="s">
        <v>92</v>
      </c>
      <c r="B33" s="15">
        <v>16056</v>
      </c>
      <c r="C33" s="15" t="s">
        <v>42</v>
      </c>
      <c r="D33" s="15" t="s">
        <v>55</v>
      </c>
      <c r="E33" s="15" t="s">
        <v>25</v>
      </c>
      <c r="F33" s="15" t="s">
        <v>18</v>
      </c>
      <c r="G33" s="15" t="s">
        <v>19</v>
      </c>
      <c r="H33" s="15" t="s">
        <v>28</v>
      </c>
      <c r="I33" s="16">
        <v>44587</v>
      </c>
      <c r="J33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44952</v>
      </c>
      <c r="K33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44952</v>
      </c>
      <c r="L33" s="15">
        <f ca="1">IFERROR(Tb_funcionarios[[#This Row],[Data do Vencimento]]-TODAY(),"")</f>
        <v>-61</v>
      </c>
      <c r="M33" s="15" t="str">
        <f ca="1">IF(Tb_funcionarios[[#This Row],[Tipo]]="","Preencher dados faltantes",IF(Tb_funcionarios[[#This Row],[Tipo]]="Demissional","Funcionário desligado",IF(L33&gt;30,"Válido",IF(L33&lt;0,"Vencido",IF(L33&lt;=30,"Menos de 30 dias para vencer")))))</f>
        <v>Vencido</v>
      </c>
      <c r="N33" s="15" t="s">
        <v>21</v>
      </c>
      <c r="O33" s="18" t="s">
        <v>29</v>
      </c>
    </row>
    <row r="34" spans="1:15" x14ac:dyDescent="0.25">
      <c r="A34" s="14" t="s">
        <v>93</v>
      </c>
      <c r="B34" s="15">
        <v>22852</v>
      </c>
      <c r="C34" s="15" t="s">
        <v>94</v>
      </c>
      <c r="D34" s="15" t="s">
        <v>95</v>
      </c>
      <c r="E34" s="15" t="s">
        <v>25</v>
      </c>
      <c r="F34" s="15" t="s">
        <v>37</v>
      </c>
      <c r="G34" s="15" t="s">
        <v>19</v>
      </c>
      <c r="H34" s="15" t="s">
        <v>28</v>
      </c>
      <c r="I34" s="16">
        <v>44721</v>
      </c>
      <c r="J34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45086</v>
      </c>
      <c r="K34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45086</v>
      </c>
      <c r="L34" s="15">
        <f ca="1">IFERROR(Tb_funcionarios[[#This Row],[Data do Vencimento]]-TODAY(),"")</f>
        <v>73</v>
      </c>
      <c r="M34" s="15" t="str">
        <f ca="1">IF(Tb_funcionarios[[#This Row],[Tipo]]="","Preencher dados faltantes",IF(Tb_funcionarios[[#This Row],[Tipo]]="Demissional","Funcionário desligado",IF(L34&gt;30,"Válido",IF(L34&lt;0,"Vencido",IF(L34&lt;=30,"Menos de 30 dias para vencer")))))</f>
        <v>Válido</v>
      </c>
      <c r="N34" s="15" t="s">
        <v>21</v>
      </c>
      <c r="O34" s="18"/>
    </row>
    <row r="35" spans="1:15" x14ac:dyDescent="0.25">
      <c r="A35" s="14" t="s">
        <v>96</v>
      </c>
      <c r="B35" s="15">
        <v>10038</v>
      </c>
      <c r="C35" s="15" t="s">
        <v>97</v>
      </c>
      <c r="D35" s="15" t="s">
        <v>98</v>
      </c>
      <c r="E35" s="15" t="s">
        <v>25</v>
      </c>
      <c r="F35" s="15" t="s">
        <v>18</v>
      </c>
      <c r="G35" s="15" t="s">
        <v>19</v>
      </c>
      <c r="H35" s="15" t="s">
        <v>28</v>
      </c>
      <c r="I35" s="16">
        <v>44741</v>
      </c>
      <c r="J35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45106</v>
      </c>
      <c r="K35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45106</v>
      </c>
      <c r="L35" s="15">
        <f ca="1">IFERROR(Tb_funcionarios[[#This Row],[Data do Vencimento]]-TODAY(),"")</f>
        <v>93</v>
      </c>
      <c r="M35" s="15" t="str">
        <f ca="1">IF(Tb_funcionarios[[#This Row],[Tipo]]="","Preencher dados faltantes",IF(Tb_funcionarios[[#This Row],[Tipo]]="Demissional","Funcionário desligado",IF(L35&gt;30,"Válido",IF(L35&lt;0,"Vencido",IF(L35&lt;=30,"Menos de 30 dias para vencer")))))</f>
        <v>Válido</v>
      </c>
      <c r="N35" s="15" t="s">
        <v>21</v>
      </c>
      <c r="O35" s="18"/>
    </row>
    <row r="36" spans="1:15" x14ac:dyDescent="0.25">
      <c r="A36" s="14" t="s">
        <v>99</v>
      </c>
      <c r="B36" s="15">
        <v>19925</v>
      </c>
      <c r="C36" s="15" t="s">
        <v>100</v>
      </c>
      <c r="D36" s="15" t="s">
        <v>101</v>
      </c>
      <c r="E36" s="15" t="s">
        <v>17</v>
      </c>
      <c r="F36" s="15" t="s">
        <v>18</v>
      </c>
      <c r="G36" s="15" t="s">
        <v>19</v>
      </c>
      <c r="H36" s="15" t="s">
        <v>28</v>
      </c>
      <c r="I36" s="16">
        <v>44685</v>
      </c>
      <c r="J36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45050</v>
      </c>
      <c r="K36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45050</v>
      </c>
      <c r="L36" s="15">
        <f ca="1">IFERROR(Tb_funcionarios[[#This Row],[Data do Vencimento]]-TODAY(),"")</f>
        <v>37</v>
      </c>
      <c r="M36" s="15" t="str">
        <f ca="1">IF(Tb_funcionarios[[#This Row],[Tipo]]="","Preencher dados faltantes",IF(Tb_funcionarios[[#This Row],[Tipo]]="Demissional","Funcionário desligado",IF(L36&gt;30,"Válido",IF(L36&lt;0,"Vencido",IF(L36&lt;=30,"Menos de 30 dias para vencer")))))</f>
        <v>Válido</v>
      </c>
      <c r="N36" s="15" t="s">
        <v>21</v>
      </c>
      <c r="O36" s="18"/>
    </row>
    <row r="37" spans="1:15" x14ac:dyDescent="0.25">
      <c r="A37" s="14" t="s">
        <v>102</v>
      </c>
      <c r="B37" s="15">
        <v>23691</v>
      </c>
      <c r="C37" s="15" t="s">
        <v>103</v>
      </c>
      <c r="D37" s="15" t="s">
        <v>43</v>
      </c>
      <c r="E37" s="15" t="s">
        <v>25</v>
      </c>
      <c r="F37" s="15" t="s">
        <v>57</v>
      </c>
      <c r="G37" s="15" t="s">
        <v>27</v>
      </c>
      <c r="H37" s="15" t="s">
        <v>28</v>
      </c>
      <c r="I37" s="16">
        <v>44606</v>
      </c>
      <c r="J37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44787</v>
      </c>
      <c r="K37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44787</v>
      </c>
      <c r="L37" s="15">
        <f ca="1">IFERROR(Tb_funcionarios[[#This Row],[Data do Vencimento]]-TODAY(),"")</f>
        <v>-226</v>
      </c>
      <c r="M37" s="15" t="str">
        <f ca="1">IF(Tb_funcionarios[[#This Row],[Tipo]]="","Preencher dados faltantes",IF(Tb_funcionarios[[#This Row],[Tipo]]="Demissional","Funcionário desligado",IF(L37&gt;30,"Válido",IF(L37&lt;0,"Vencido",IF(L37&lt;=30,"Menos de 30 dias para vencer")))))</f>
        <v>Vencido</v>
      </c>
      <c r="N37" s="15" t="s">
        <v>21</v>
      </c>
      <c r="O37" s="18" t="s">
        <v>29</v>
      </c>
    </row>
    <row r="38" spans="1:15" x14ac:dyDescent="0.25">
      <c r="A38" s="14" t="s">
        <v>104</v>
      </c>
      <c r="B38" s="15">
        <v>23196</v>
      </c>
      <c r="C38" s="15" t="s">
        <v>105</v>
      </c>
      <c r="D38" s="15" t="s">
        <v>211</v>
      </c>
      <c r="E38" s="15" t="s">
        <v>17</v>
      </c>
      <c r="F38" s="15" t="s">
        <v>18</v>
      </c>
      <c r="G38" s="15" t="s">
        <v>19</v>
      </c>
      <c r="H38" s="15" t="s">
        <v>106</v>
      </c>
      <c r="I38" s="16">
        <v>44910</v>
      </c>
      <c r="J38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45275</v>
      </c>
      <c r="K38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45275</v>
      </c>
      <c r="L38" s="15">
        <f ca="1">IFERROR(Tb_funcionarios[[#This Row],[Data do Vencimento]]-TODAY(),"")</f>
        <v>262</v>
      </c>
      <c r="M38" s="15" t="str">
        <f ca="1">IF(Tb_funcionarios[[#This Row],[Tipo]]="","Preencher dados faltantes",IF(Tb_funcionarios[[#This Row],[Tipo]]="Demissional","Funcionário desligado",IF(L38&gt;30,"Válido",IF(L38&lt;0,"Vencido",IF(L38&lt;=30,"Menos de 30 dias para vencer")))))</f>
        <v>Válido</v>
      </c>
      <c r="N38" s="15" t="s">
        <v>21</v>
      </c>
      <c r="O38" s="18"/>
    </row>
    <row r="39" spans="1:15" x14ac:dyDescent="0.25">
      <c r="A39" s="14" t="s">
        <v>107</v>
      </c>
      <c r="B39" s="15">
        <v>17661</v>
      </c>
      <c r="C39" s="15" t="s">
        <v>108</v>
      </c>
      <c r="D39" s="15" t="s">
        <v>109</v>
      </c>
      <c r="E39" s="15" t="s">
        <v>17</v>
      </c>
      <c r="F39" s="15" t="s">
        <v>18</v>
      </c>
      <c r="G39" s="15" t="s">
        <v>19</v>
      </c>
      <c r="H39" s="15" t="s">
        <v>28</v>
      </c>
      <c r="I39" s="16">
        <v>44721</v>
      </c>
      <c r="J39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45086</v>
      </c>
      <c r="K39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45086</v>
      </c>
      <c r="L39" s="15">
        <f ca="1">IFERROR(Tb_funcionarios[[#This Row],[Data do Vencimento]]-TODAY(),"")</f>
        <v>73</v>
      </c>
      <c r="M39" s="15" t="str">
        <f ca="1">IF(Tb_funcionarios[[#This Row],[Tipo]]="","Preencher dados faltantes",IF(Tb_funcionarios[[#This Row],[Tipo]]="Demissional","Funcionário desligado",IF(L39&gt;30,"Válido",IF(L39&lt;0,"Vencido",IF(L39&lt;=30,"Menos de 30 dias para vencer")))))</f>
        <v>Válido</v>
      </c>
      <c r="N39" s="15" t="s">
        <v>21</v>
      </c>
      <c r="O39" s="18"/>
    </row>
    <row r="40" spans="1:15" x14ac:dyDescent="0.25">
      <c r="A40" s="14" t="s">
        <v>110</v>
      </c>
      <c r="B40" s="15">
        <v>23162</v>
      </c>
      <c r="C40" s="15" t="s">
        <v>97</v>
      </c>
      <c r="D40" s="15" t="s">
        <v>111</v>
      </c>
      <c r="E40" s="15" t="s">
        <v>25</v>
      </c>
      <c r="F40" s="15" t="s">
        <v>18</v>
      </c>
      <c r="G40" s="15" t="s">
        <v>19</v>
      </c>
      <c r="H40" s="15" t="s">
        <v>28</v>
      </c>
      <c r="I40" s="16">
        <v>44838</v>
      </c>
      <c r="J40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45203</v>
      </c>
      <c r="K40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45203</v>
      </c>
      <c r="L40" s="15">
        <f ca="1">IFERROR(Tb_funcionarios[[#This Row],[Data do Vencimento]]-TODAY(),"")</f>
        <v>190</v>
      </c>
      <c r="M40" s="15" t="str">
        <f ca="1">IF(Tb_funcionarios[[#This Row],[Tipo]]="","Preencher dados faltantes",IF(Tb_funcionarios[[#This Row],[Tipo]]="Demissional","Funcionário desligado",IF(L40&gt;30,"Válido",IF(L40&lt;0,"Vencido",IF(L40&lt;=30,"Menos de 30 dias para vencer")))))</f>
        <v>Válido</v>
      </c>
      <c r="N40" s="15" t="s">
        <v>21</v>
      </c>
      <c r="O40" s="18"/>
    </row>
    <row r="41" spans="1:15" x14ac:dyDescent="0.25">
      <c r="A41" s="14" t="s">
        <v>112</v>
      </c>
      <c r="B41" s="15">
        <v>11978</v>
      </c>
      <c r="C41" s="15" t="s">
        <v>113</v>
      </c>
      <c r="D41" s="15" t="s">
        <v>73</v>
      </c>
      <c r="E41" s="15" t="s">
        <v>25</v>
      </c>
      <c r="F41" s="15" t="s">
        <v>18</v>
      </c>
      <c r="G41" s="15" t="s">
        <v>19</v>
      </c>
      <c r="H41" s="15" t="s">
        <v>28</v>
      </c>
      <c r="I41" s="16">
        <v>44840</v>
      </c>
      <c r="J41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45205</v>
      </c>
      <c r="K41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45205</v>
      </c>
      <c r="L41" s="15">
        <f ca="1">IFERROR(Tb_funcionarios[[#This Row],[Data do Vencimento]]-TODAY(),"")</f>
        <v>192</v>
      </c>
      <c r="M41" s="15" t="str">
        <f ca="1">IF(Tb_funcionarios[[#This Row],[Tipo]]="","Preencher dados faltantes",IF(Tb_funcionarios[[#This Row],[Tipo]]="Demissional","Funcionário desligado",IF(L41&gt;30,"Válido",IF(L41&lt;0,"Vencido",IF(L41&lt;=30,"Menos de 30 dias para vencer")))))</f>
        <v>Válido</v>
      </c>
      <c r="N41" s="15" t="s">
        <v>21</v>
      </c>
      <c r="O41" s="18"/>
    </row>
    <row r="42" spans="1:15" x14ac:dyDescent="0.25">
      <c r="A42" s="14" t="s">
        <v>114</v>
      </c>
      <c r="B42" s="15">
        <v>10177</v>
      </c>
      <c r="C42" s="15" t="s">
        <v>42</v>
      </c>
      <c r="D42" s="15" t="s">
        <v>43</v>
      </c>
      <c r="E42" s="15" t="s">
        <v>25</v>
      </c>
      <c r="F42" s="15" t="s">
        <v>18</v>
      </c>
      <c r="G42" s="15" t="s">
        <v>19</v>
      </c>
      <c r="H42" s="15" t="s">
        <v>28</v>
      </c>
      <c r="I42" s="16">
        <v>44664</v>
      </c>
      <c r="J42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45029</v>
      </c>
      <c r="K42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45029</v>
      </c>
      <c r="L42" s="15">
        <f ca="1">IFERROR(Tb_funcionarios[[#This Row],[Data do Vencimento]]-TODAY(),"")</f>
        <v>16</v>
      </c>
      <c r="M42" s="15" t="str">
        <f ca="1">IF(Tb_funcionarios[[#This Row],[Tipo]]="","Preencher dados faltantes",IF(Tb_funcionarios[[#This Row],[Tipo]]="Demissional","Funcionário desligado",IF(L42&gt;30,"Válido",IF(L42&lt;0,"Vencido",IF(L42&lt;=30,"Menos de 30 dias para vencer")))))</f>
        <v>Menos de 30 dias para vencer</v>
      </c>
      <c r="N42" s="15" t="s">
        <v>21</v>
      </c>
      <c r="O42" s="18"/>
    </row>
    <row r="43" spans="1:15" x14ac:dyDescent="0.25">
      <c r="A43" s="14" t="s">
        <v>115</v>
      </c>
      <c r="B43" s="15">
        <v>14041</v>
      </c>
      <c r="C43" s="15" t="s">
        <v>42</v>
      </c>
      <c r="D43" s="15" t="s">
        <v>60</v>
      </c>
      <c r="E43" s="15" t="s">
        <v>17</v>
      </c>
      <c r="F43" s="15" t="s">
        <v>18</v>
      </c>
      <c r="G43" s="15" t="s">
        <v>19</v>
      </c>
      <c r="H43" s="15" t="s">
        <v>28</v>
      </c>
      <c r="I43" s="16">
        <v>44888</v>
      </c>
      <c r="J43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45253</v>
      </c>
      <c r="K43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45253</v>
      </c>
      <c r="L43" s="15">
        <f ca="1">IFERROR(Tb_funcionarios[[#This Row],[Data do Vencimento]]-TODAY(),"")</f>
        <v>240</v>
      </c>
      <c r="M43" s="15" t="str">
        <f ca="1">IF(Tb_funcionarios[[#This Row],[Tipo]]="","Preencher dados faltantes",IF(Tb_funcionarios[[#This Row],[Tipo]]="Demissional","Funcionário desligado",IF(L43&gt;30,"Válido",IF(L43&lt;0,"Vencido",IF(L43&lt;=30,"Menos de 30 dias para vencer")))))</f>
        <v>Válido</v>
      </c>
      <c r="N43" s="15" t="s">
        <v>21</v>
      </c>
      <c r="O43" s="18"/>
    </row>
    <row r="44" spans="1:15" x14ac:dyDescent="0.25">
      <c r="A44" s="14" t="s">
        <v>116</v>
      </c>
      <c r="B44" s="15">
        <v>15027</v>
      </c>
      <c r="C44" s="15" t="s">
        <v>42</v>
      </c>
      <c r="D44" s="15" t="s">
        <v>109</v>
      </c>
      <c r="E44" s="15" t="s">
        <v>17</v>
      </c>
      <c r="F44" s="15" t="s">
        <v>18</v>
      </c>
      <c r="G44" s="15" t="s">
        <v>19</v>
      </c>
      <c r="H44" s="15" t="s">
        <v>106</v>
      </c>
      <c r="I44" s="16">
        <v>44650</v>
      </c>
      <c r="J44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45015</v>
      </c>
      <c r="K44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45015</v>
      </c>
      <c r="L44" s="15">
        <f ca="1">IFERROR(Tb_funcionarios[[#This Row],[Data do Vencimento]]-TODAY(),"")</f>
        <v>2</v>
      </c>
      <c r="M44" s="15" t="str">
        <f ca="1">IF(Tb_funcionarios[[#This Row],[Tipo]]="","Preencher dados faltantes",IF(Tb_funcionarios[[#This Row],[Tipo]]="Demissional","Funcionário desligado",IF(L44&gt;30,"Válido",IF(L44&lt;0,"Vencido",IF(L44&lt;=30,"Menos de 30 dias para vencer")))))</f>
        <v>Menos de 30 dias para vencer</v>
      </c>
      <c r="N44" s="15" t="s">
        <v>21</v>
      </c>
      <c r="O44" s="18"/>
    </row>
    <row r="45" spans="1:15" x14ac:dyDescent="0.25">
      <c r="A45" s="14" t="s">
        <v>117</v>
      </c>
      <c r="B45" s="15">
        <v>17200</v>
      </c>
      <c r="C45" s="15" t="s">
        <v>42</v>
      </c>
      <c r="D45" s="15" t="s">
        <v>55</v>
      </c>
      <c r="E45" s="15" t="s">
        <v>25</v>
      </c>
      <c r="F45" s="15" t="s">
        <v>18</v>
      </c>
      <c r="G45" s="15" t="s">
        <v>19</v>
      </c>
      <c r="H45" s="15" t="s">
        <v>28</v>
      </c>
      <c r="I45" s="16">
        <v>44651</v>
      </c>
      <c r="J45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45016</v>
      </c>
      <c r="K45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45016</v>
      </c>
      <c r="L45" s="15">
        <f ca="1">IFERROR(Tb_funcionarios[[#This Row],[Data do Vencimento]]-TODAY(),"")</f>
        <v>3</v>
      </c>
      <c r="M45" s="15" t="str">
        <f ca="1">IF(Tb_funcionarios[[#This Row],[Tipo]]="","Preencher dados faltantes",IF(Tb_funcionarios[[#This Row],[Tipo]]="Demissional","Funcionário desligado",IF(L45&gt;30,"Válido",IF(L45&lt;0,"Vencido",IF(L45&lt;=30,"Menos de 30 dias para vencer")))))</f>
        <v>Menos de 30 dias para vencer</v>
      </c>
      <c r="N45" s="15" t="s">
        <v>21</v>
      </c>
      <c r="O45" s="18"/>
    </row>
    <row r="46" spans="1:15" x14ac:dyDescent="0.25">
      <c r="A46" s="14" t="s">
        <v>118</v>
      </c>
      <c r="B46" s="15">
        <v>12717</v>
      </c>
      <c r="C46" s="15" t="s">
        <v>42</v>
      </c>
      <c r="D46" s="15" t="s">
        <v>73</v>
      </c>
      <c r="E46" s="15" t="s">
        <v>25</v>
      </c>
      <c r="F46" s="15" t="s">
        <v>18</v>
      </c>
      <c r="G46" s="15" t="s">
        <v>19</v>
      </c>
      <c r="H46" s="15" t="s">
        <v>28</v>
      </c>
      <c r="I46" s="16">
        <v>44749</v>
      </c>
      <c r="J46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45114</v>
      </c>
      <c r="K46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45114</v>
      </c>
      <c r="L46" s="15">
        <f ca="1">IFERROR(Tb_funcionarios[[#This Row],[Data do Vencimento]]-TODAY(),"")</f>
        <v>101</v>
      </c>
      <c r="M46" s="15" t="str">
        <f ca="1">IF(Tb_funcionarios[[#This Row],[Tipo]]="","Preencher dados faltantes",IF(Tb_funcionarios[[#This Row],[Tipo]]="Demissional","Funcionário desligado",IF(L46&gt;30,"Válido",IF(L46&lt;0,"Vencido",IF(L46&lt;=30,"Menos de 30 dias para vencer")))))</f>
        <v>Válido</v>
      </c>
      <c r="N46" s="15" t="s">
        <v>21</v>
      </c>
      <c r="O46" s="18"/>
    </row>
    <row r="47" spans="1:15" x14ac:dyDescent="0.25">
      <c r="A47" s="14" t="s">
        <v>119</v>
      </c>
      <c r="B47" s="15">
        <v>22517</v>
      </c>
      <c r="C47" s="15" t="s">
        <v>82</v>
      </c>
      <c r="D47" s="15" t="s">
        <v>111</v>
      </c>
      <c r="E47" s="15" t="s">
        <v>25</v>
      </c>
      <c r="F47" s="15" t="s">
        <v>18</v>
      </c>
      <c r="G47" s="15" t="s">
        <v>19</v>
      </c>
      <c r="H47" s="15" t="s">
        <v>28</v>
      </c>
      <c r="I47" s="16">
        <v>44854</v>
      </c>
      <c r="J47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45219</v>
      </c>
      <c r="K47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45219</v>
      </c>
      <c r="L47" s="15">
        <f ca="1">IFERROR(Tb_funcionarios[[#This Row],[Data do Vencimento]]-TODAY(),"")</f>
        <v>206</v>
      </c>
      <c r="M47" s="15" t="str">
        <f ca="1">IF(Tb_funcionarios[[#This Row],[Tipo]]="","Preencher dados faltantes",IF(Tb_funcionarios[[#This Row],[Tipo]]="Demissional","Funcionário desligado",IF(L47&gt;30,"Válido",IF(L47&lt;0,"Vencido",IF(L47&lt;=30,"Menos de 30 dias para vencer")))))</f>
        <v>Válido</v>
      </c>
      <c r="N47" s="15" t="s">
        <v>21</v>
      </c>
      <c r="O47" s="18"/>
    </row>
    <row r="48" spans="1:15" x14ac:dyDescent="0.25">
      <c r="A48" s="14" t="s">
        <v>120</v>
      </c>
      <c r="B48" s="15">
        <v>15233</v>
      </c>
      <c r="C48" s="15" t="s">
        <v>42</v>
      </c>
      <c r="D48" s="15" t="s">
        <v>79</v>
      </c>
      <c r="E48" s="15" t="s">
        <v>17</v>
      </c>
      <c r="F48" s="15" t="s">
        <v>18</v>
      </c>
      <c r="G48" s="15" t="s">
        <v>19</v>
      </c>
      <c r="H48" s="15" t="s">
        <v>28</v>
      </c>
      <c r="I48" s="16">
        <v>44821</v>
      </c>
      <c r="J48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45186</v>
      </c>
      <c r="K48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45186</v>
      </c>
      <c r="L48" s="15">
        <f ca="1">IFERROR(Tb_funcionarios[[#This Row],[Data do Vencimento]]-TODAY(),"")</f>
        <v>173</v>
      </c>
      <c r="M48" s="15" t="str">
        <f ca="1">IF(Tb_funcionarios[[#This Row],[Tipo]]="","Preencher dados faltantes",IF(Tb_funcionarios[[#This Row],[Tipo]]="Demissional","Funcionário desligado",IF(L48&gt;30,"Válido",IF(L48&lt;0,"Vencido",IF(L48&lt;=30,"Menos de 30 dias para vencer")))))</f>
        <v>Válido</v>
      </c>
      <c r="N48" s="15" t="s">
        <v>21</v>
      </c>
      <c r="O48" s="18"/>
    </row>
    <row r="49" spans="1:15" x14ac:dyDescent="0.25">
      <c r="A49" s="14" t="s">
        <v>121</v>
      </c>
      <c r="B49" s="15">
        <v>15482</v>
      </c>
      <c r="C49" s="15" t="s">
        <v>122</v>
      </c>
      <c r="D49" s="15" t="s">
        <v>123</v>
      </c>
      <c r="E49" s="15" t="s">
        <v>25</v>
      </c>
      <c r="F49" s="15" t="s">
        <v>57</v>
      </c>
      <c r="G49" s="15" t="s">
        <v>27</v>
      </c>
      <c r="H49" s="15" t="s">
        <v>28</v>
      </c>
      <c r="I49" s="16">
        <v>44685</v>
      </c>
      <c r="J49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44869</v>
      </c>
      <c r="K49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44869</v>
      </c>
      <c r="L49" s="15">
        <f ca="1">IFERROR(Tb_funcionarios[[#This Row],[Data do Vencimento]]-TODAY(),"")</f>
        <v>-144</v>
      </c>
      <c r="M49" s="15" t="str">
        <f ca="1">IF(Tb_funcionarios[[#This Row],[Tipo]]="","Preencher dados faltantes",IF(Tb_funcionarios[[#This Row],[Tipo]]="Demissional","Funcionário desligado",IF(L49&gt;30,"Válido",IF(L49&lt;0,"Vencido",IF(L49&lt;=30,"Menos de 30 dias para vencer")))))</f>
        <v>Vencido</v>
      </c>
      <c r="N49" s="15" t="s">
        <v>21</v>
      </c>
      <c r="O49" s="18" t="s">
        <v>29</v>
      </c>
    </row>
    <row r="50" spans="1:15" x14ac:dyDescent="0.25">
      <c r="A50" s="14" t="s">
        <v>124</v>
      </c>
      <c r="B50" s="15">
        <v>13767</v>
      </c>
      <c r="C50" s="15" t="s">
        <v>42</v>
      </c>
      <c r="D50" s="15" t="s">
        <v>43</v>
      </c>
      <c r="E50" s="15" t="s">
        <v>25</v>
      </c>
      <c r="F50" s="15" t="s">
        <v>18</v>
      </c>
      <c r="G50" s="15" t="s">
        <v>19</v>
      </c>
      <c r="H50" s="15" t="s">
        <v>28</v>
      </c>
      <c r="I50" s="16">
        <v>44635</v>
      </c>
      <c r="J50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45000</v>
      </c>
      <c r="K50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45000</v>
      </c>
      <c r="L50" s="15">
        <f ca="1">IFERROR(Tb_funcionarios[[#This Row],[Data do Vencimento]]-TODAY(),"")</f>
        <v>-13</v>
      </c>
      <c r="M50" s="15" t="str">
        <f ca="1">IF(Tb_funcionarios[[#This Row],[Tipo]]="","Preencher dados faltantes",IF(Tb_funcionarios[[#This Row],[Tipo]]="Demissional","Funcionário desligado",IF(L50&gt;30,"Válido",IF(L50&lt;0,"Vencido",IF(L50&lt;=30,"Menos de 30 dias para vencer")))))</f>
        <v>Vencido</v>
      </c>
      <c r="N50" s="15" t="s">
        <v>21</v>
      </c>
      <c r="O50" s="18"/>
    </row>
    <row r="51" spans="1:15" x14ac:dyDescent="0.25">
      <c r="A51" s="14" t="s">
        <v>125</v>
      </c>
      <c r="B51" s="15">
        <v>21944</v>
      </c>
      <c r="C51" s="15" t="s">
        <v>70</v>
      </c>
      <c r="D51" s="15" t="s">
        <v>71</v>
      </c>
      <c r="E51" s="15" t="s">
        <v>17</v>
      </c>
      <c r="F51" s="15" t="s">
        <v>18</v>
      </c>
      <c r="G51" s="15" t="s">
        <v>19</v>
      </c>
      <c r="H51" s="15" t="s">
        <v>28</v>
      </c>
      <c r="I51" s="16">
        <v>44854</v>
      </c>
      <c r="J51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45219</v>
      </c>
      <c r="K51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45219</v>
      </c>
      <c r="L51" s="15">
        <f ca="1">IFERROR(Tb_funcionarios[[#This Row],[Data do Vencimento]]-TODAY(),"")</f>
        <v>206</v>
      </c>
      <c r="M51" s="15" t="str">
        <f ca="1">IF(Tb_funcionarios[[#This Row],[Tipo]]="","Preencher dados faltantes",IF(Tb_funcionarios[[#This Row],[Tipo]]="Demissional","Funcionário desligado",IF(L51&gt;30,"Válido",IF(L51&lt;0,"Vencido",IF(L51&lt;=30,"Menos de 30 dias para vencer")))))</f>
        <v>Válido</v>
      </c>
      <c r="N51" s="15" t="s">
        <v>21</v>
      </c>
      <c r="O51" s="18"/>
    </row>
    <row r="52" spans="1:15" x14ac:dyDescent="0.25">
      <c r="A52" s="14" t="s">
        <v>126</v>
      </c>
      <c r="B52" s="15">
        <v>16828</v>
      </c>
      <c r="C52" s="15" t="s">
        <v>78</v>
      </c>
      <c r="D52" s="15" t="s">
        <v>79</v>
      </c>
      <c r="E52" s="15" t="s">
        <v>17</v>
      </c>
      <c r="F52" s="15" t="s">
        <v>18</v>
      </c>
      <c r="G52" s="15" t="s">
        <v>19</v>
      </c>
      <c r="H52" s="15" t="s">
        <v>28</v>
      </c>
      <c r="I52" s="16">
        <v>44838</v>
      </c>
      <c r="J52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45203</v>
      </c>
      <c r="K52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45203</v>
      </c>
      <c r="L52" s="15">
        <f ca="1">IFERROR(Tb_funcionarios[[#This Row],[Data do Vencimento]]-TODAY(),"")</f>
        <v>190</v>
      </c>
      <c r="M52" s="15" t="str">
        <f ca="1">IF(Tb_funcionarios[[#This Row],[Tipo]]="","Preencher dados faltantes",IF(Tb_funcionarios[[#This Row],[Tipo]]="Demissional","Funcionário desligado",IF(L52&gt;30,"Válido",IF(L52&lt;0,"Vencido",IF(L52&lt;=30,"Menos de 30 dias para vencer")))))</f>
        <v>Válido</v>
      </c>
      <c r="N52" s="15" t="s">
        <v>21</v>
      </c>
      <c r="O52" s="18"/>
    </row>
    <row r="53" spans="1:15" x14ac:dyDescent="0.25">
      <c r="A53" s="14" t="s">
        <v>127</v>
      </c>
      <c r="B53" s="15">
        <v>11314</v>
      </c>
      <c r="C53" s="15" t="s">
        <v>42</v>
      </c>
      <c r="D53" s="15" t="s">
        <v>43</v>
      </c>
      <c r="E53" s="15" t="s">
        <v>25</v>
      </c>
      <c r="F53" s="15" t="s">
        <v>18</v>
      </c>
      <c r="G53" s="15" t="s">
        <v>19</v>
      </c>
      <c r="H53" s="15" t="s">
        <v>28</v>
      </c>
      <c r="I53" s="16">
        <v>44805</v>
      </c>
      <c r="J53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45170</v>
      </c>
      <c r="K53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45170</v>
      </c>
      <c r="L53" s="15">
        <f ca="1">IFERROR(Tb_funcionarios[[#This Row],[Data do Vencimento]]-TODAY(),"")</f>
        <v>157</v>
      </c>
      <c r="M53" s="15" t="str">
        <f ca="1">IF(Tb_funcionarios[[#This Row],[Tipo]]="","Preencher dados faltantes",IF(Tb_funcionarios[[#This Row],[Tipo]]="Demissional","Funcionário desligado",IF(L53&gt;30,"Válido",IF(L53&lt;0,"Vencido",IF(L53&lt;=30,"Menos de 30 dias para vencer")))))</f>
        <v>Válido</v>
      </c>
      <c r="N53" s="15" t="s">
        <v>21</v>
      </c>
      <c r="O53" s="18"/>
    </row>
    <row r="54" spans="1:15" x14ac:dyDescent="0.25">
      <c r="A54" s="14" t="s">
        <v>128</v>
      </c>
      <c r="B54" s="15">
        <v>17788</v>
      </c>
      <c r="C54" s="15" t="s">
        <v>129</v>
      </c>
      <c r="D54" s="15" t="s">
        <v>109</v>
      </c>
      <c r="E54" s="15" t="s">
        <v>17</v>
      </c>
      <c r="F54" s="15" t="s">
        <v>18</v>
      </c>
      <c r="G54" s="15" t="s">
        <v>19</v>
      </c>
      <c r="H54" s="15" t="s">
        <v>61</v>
      </c>
      <c r="I54" s="16">
        <v>44636</v>
      </c>
      <c r="J54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45001</v>
      </c>
      <c r="K54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45001</v>
      </c>
      <c r="L54" s="15">
        <f ca="1">IFERROR(Tb_funcionarios[[#This Row],[Data do Vencimento]]-TODAY(),"")</f>
        <v>-12</v>
      </c>
      <c r="M54" s="15" t="str">
        <f ca="1">IF(Tb_funcionarios[[#This Row],[Tipo]]="","Preencher dados faltantes",IF(Tb_funcionarios[[#This Row],[Tipo]]="Demissional","Funcionário desligado",IF(L54&gt;30,"Válido",IF(L54&lt;0,"Vencido",IF(L54&lt;=30,"Menos de 30 dias para vencer")))))</f>
        <v>Vencido</v>
      </c>
      <c r="N54" s="15" t="s">
        <v>21</v>
      </c>
      <c r="O54" s="18"/>
    </row>
    <row r="55" spans="1:15" x14ac:dyDescent="0.25">
      <c r="A55" s="14" t="s">
        <v>130</v>
      </c>
      <c r="B55" s="15">
        <v>23044</v>
      </c>
      <c r="C55" s="15" t="s">
        <v>50</v>
      </c>
      <c r="D55" s="15" t="s">
        <v>36</v>
      </c>
      <c r="E55" s="15" t="s">
        <v>17</v>
      </c>
      <c r="F55" s="15" t="s">
        <v>37</v>
      </c>
      <c r="G55" s="15" t="s">
        <v>19</v>
      </c>
      <c r="H55" s="15" t="s">
        <v>28</v>
      </c>
      <c r="I55" s="16">
        <v>44638</v>
      </c>
      <c r="J55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45003</v>
      </c>
      <c r="K55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45003</v>
      </c>
      <c r="L55" s="15">
        <f ca="1">IFERROR(Tb_funcionarios[[#This Row],[Data do Vencimento]]-TODAY(),"")</f>
        <v>-10</v>
      </c>
      <c r="M55" s="15" t="str">
        <f ca="1">IF(Tb_funcionarios[[#This Row],[Tipo]]="","Preencher dados faltantes",IF(Tb_funcionarios[[#This Row],[Tipo]]="Demissional","Funcionário desligado",IF(L55&gt;30,"Válido",IF(L55&lt;0,"Vencido",IF(L55&lt;=30,"Menos de 30 dias para vencer")))))</f>
        <v>Vencido</v>
      </c>
      <c r="N55" s="15" t="s">
        <v>21</v>
      </c>
      <c r="O55" s="18"/>
    </row>
    <row r="56" spans="1:15" x14ac:dyDescent="0.25">
      <c r="A56" s="14" t="s">
        <v>131</v>
      </c>
      <c r="B56" s="15">
        <v>15218</v>
      </c>
      <c r="C56" s="15" t="s">
        <v>132</v>
      </c>
      <c r="D56" s="15" t="s">
        <v>133</v>
      </c>
      <c r="E56" s="15" t="s">
        <v>17</v>
      </c>
      <c r="F56" s="15" t="s">
        <v>18</v>
      </c>
      <c r="G56" s="15" t="s">
        <v>19</v>
      </c>
      <c r="H56" s="15" t="s">
        <v>28</v>
      </c>
      <c r="I56" s="16">
        <v>44606</v>
      </c>
      <c r="J56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44971</v>
      </c>
      <c r="K56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44971</v>
      </c>
      <c r="L56" s="15">
        <f ca="1">IFERROR(Tb_funcionarios[[#This Row],[Data do Vencimento]]-TODAY(),"")</f>
        <v>-42</v>
      </c>
      <c r="M56" s="15" t="str">
        <f ca="1">IF(Tb_funcionarios[[#This Row],[Tipo]]="","Preencher dados faltantes",IF(Tb_funcionarios[[#This Row],[Tipo]]="Demissional","Funcionário desligado",IF(L56&gt;30,"Válido",IF(L56&lt;0,"Vencido",IF(L56&lt;=30,"Menos de 30 dias para vencer")))))</f>
        <v>Vencido</v>
      </c>
      <c r="N56" s="15" t="s">
        <v>21</v>
      </c>
      <c r="O56" s="18">
        <v>44972</v>
      </c>
    </row>
    <row r="57" spans="1:15" x14ac:dyDescent="0.25">
      <c r="A57" s="14" t="s">
        <v>134</v>
      </c>
      <c r="B57" s="15">
        <v>17963</v>
      </c>
      <c r="C57" s="15" t="s">
        <v>135</v>
      </c>
      <c r="D57" s="15" t="s">
        <v>136</v>
      </c>
      <c r="E57" s="15" t="s">
        <v>25</v>
      </c>
      <c r="F57" s="15" t="s">
        <v>18</v>
      </c>
      <c r="G57" s="15" t="s">
        <v>19</v>
      </c>
      <c r="H57" s="15" t="s">
        <v>28</v>
      </c>
      <c r="I57" s="16">
        <v>44782</v>
      </c>
      <c r="J57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45147</v>
      </c>
      <c r="K57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45147</v>
      </c>
      <c r="L57" s="15">
        <f ca="1">IFERROR(Tb_funcionarios[[#This Row],[Data do Vencimento]]-TODAY(),"")</f>
        <v>134</v>
      </c>
      <c r="M57" s="15" t="str">
        <f ca="1">IF(Tb_funcionarios[[#This Row],[Tipo]]="","Preencher dados faltantes",IF(Tb_funcionarios[[#This Row],[Tipo]]="Demissional","Funcionário desligado",IF(L57&gt;30,"Válido",IF(L57&lt;0,"Vencido",IF(L57&lt;=30,"Menos de 30 dias para vencer")))))</f>
        <v>Válido</v>
      </c>
      <c r="N57" s="15" t="s">
        <v>21</v>
      </c>
      <c r="O57" s="18"/>
    </row>
    <row r="58" spans="1:15" x14ac:dyDescent="0.25">
      <c r="A58" s="14" t="s">
        <v>137</v>
      </c>
      <c r="B58" s="15">
        <v>18021</v>
      </c>
      <c r="C58" s="15" t="s">
        <v>138</v>
      </c>
      <c r="D58" s="15" t="s">
        <v>139</v>
      </c>
      <c r="E58" s="15" t="s">
        <v>17</v>
      </c>
      <c r="F58" s="15" t="s">
        <v>18</v>
      </c>
      <c r="G58" s="15" t="s">
        <v>19</v>
      </c>
      <c r="H58" s="15" t="s">
        <v>28</v>
      </c>
      <c r="I58" s="16">
        <v>44782</v>
      </c>
      <c r="J58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45147</v>
      </c>
      <c r="K58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45147</v>
      </c>
      <c r="L58" s="15">
        <f ca="1">IFERROR(Tb_funcionarios[[#This Row],[Data do Vencimento]]-TODAY(),"")</f>
        <v>134</v>
      </c>
      <c r="M58" s="15" t="str">
        <f ca="1">IF(Tb_funcionarios[[#This Row],[Tipo]]="","Preencher dados faltantes",IF(Tb_funcionarios[[#This Row],[Tipo]]="Demissional","Funcionário desligado",IF(L58&gt;30,"Válido",IF(L58&lt;0,"Vencido",IF(L58&lt;=30,"Menos de 30 dias para vencer")))))</f>
        <v>Válido</v>
      </c>
      <c r="N58" s="15" t="s">
        <v>21</v>
      </c>
      <c r="O58" s="18"/>
    </row>
    <row r="59" spans="1:15" x14ac:dyDescent="0.25">
      <c r="A59" s="14" t="s">
        <v>140</v>
      </c>
      <c r="B59" s="15">
        <v>15438</v>
      </c>
      <c r="C59" s="15" t="s">
        <v>141</v>
      </c>
      <c r="D59" s="15" t="s">
        <v>142</v>
      </c>
      <c r="E59" s="15" t="s">
        <v>25</v>
      </c>
      <c r="F59" s="15" t="s">
        <v>18</v>
      </c>
      <c r="G59" s="15" t="s">
        <v>19</v>
      </c>
      <c r="H59" s="15" t="s">
        <v>28</v>
      </c>
      <c r="I59" s="16">
        <v>44910</v>
      </c>
      <c r="J59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45275</v>
      </c>
      <c r="K59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45275</v>
      </c>
      <c r="L59" s="15">
        <f ca="1">IFERROR(Tb_funcionarios[[#This Row],[Data do Vencimento]]-TODAY(),"")</f>
        <v>262</v>
      </c>
      <c r="M59" s="15" t="str">
        <f ca="1">IF(Tb_funcionarios[[#This Row],[Tipo]]="","Preencher dados faltantes",IF(Tb_funcionarios[[#This Row],[Tipo]]="Demissional","Funcionário desligado",IF(L59&gt;30,"Válido",IF(L59&lt;0,"Vencido",IF(L59&lt;=30,"Menos de 30 dias para vencer")))))</f>
        <v>Válido</v>
      </c>
      <c r="N59" s="15" t="s">
        <v>21</v>
      </c>
      <c r="O59" s="18"/>
    </row>
    <row r="60" spans="1:15" x14ac:dyDescent="0.25">
      <c r="A60" s="14" t="s">
        <v>143</v>
      </c>
      <c r="B60" s="15">
        <v>16913</v>
      </c>
      <c r="C60" s="15" t="s">
        <v>144</v>
      </c>
      <c r="D60" s="15" t="s">
        <v>145</v>
      </c>
      <c r="E60" s="15" t="s">
        <v>25</v>
      </c>
      <c r="F60" s="15" t="s">
        <v>37</v>
      </c>
      <c r="G60" s="15" t="s">
        <v>19</v>
      </c>
      <c r="H60" s="15" t="s">
        <v>28</v>
      </c>
      <c r="I60" s="16">
        <v>44782</v>
      </c>
      <c r="J60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45147</v>
      </c>
      <c r="K60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45147</v>
      </c>
      <c r="L60" s="15">
        <f ca="1">IFERROR(Tb_funcionarios[[#This Row],[Data do Vencimento]]-TODAY(),"")</f>
        <v>134</v>
      </c>
      <c r="M60" s="15" t="str">
        <f ca="1">IF(Tb_funcionarios[[#This Row],[Tipo]]="","Preencher dados faltantes",IF(Tb_funcionarios[[#This Row],[Tipo]]="Demissional","Funcionário desligado",IF(L60&gt;30,"Válido",IF(L60&lt;0,"Vencido",IF(L60&lt;=30,"Menos de 30 dias para vencer")))))</f>
        <v>Válido</v>
      </c>
      <c r="N60" s="15" t="s">
        <v>21</v>
      </c>
      <c r="O60" s="18"/>
    </row>
    <row r="61" spans="1:15" x14ac:dyDescent="0.25">
      <c r="A61" s="14" t="s">
        <v>146</v>
      </c>
      <c r="B61" s="15">
        <v>13850</v>
      </c>
      <c r="C61" s="15" t="s">
        <v>147</v>
      </c>
      <c r="D61" s="15" t="s">
        <v>148</v>
      </c>
      <c r="E61" s="15" t="s">
        <v>25</v>
      </c>
      <c r="F61" s="15" t="s">
        <v>18</v>
      </c>
      <c r="G61" s="15" t="s">
        <v>19</v>
      </c>
      <c r="H61" s="15" t="s">
        <v>28</v>
      </c>
      <c r="I61" s="16">
        <v>44733</v>
      </c>
      <c r="J61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45098</v>
      </c>
      <c r="K61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45098</v>
      </c>
      <c r="L61" s="15">
        <f ca="1">IFERROR(Tb_funcionarios[[#This Row],[Data do Vencimento]]-TODAY(),"")</f>
        <v>85</v>
      </c>
      <c r="M61" s="15" t="str">
        <f ca="1">IF(Tb_funcionarios[[#This Row],[Tipo]]="","Preencher dados faltantes",IF(Tb_funcionarios[[#This Row],[Tipo]]="Demissional","Funcionário desligado",IF(L61&gt;30,"Válido",IF(L61&lt;0,"Vencido",IF(L61&lt;=30,"Menos de 30 dias para vencer")))))</f>
        <v>Válido</v>
      </c>
      <c r="N61" s="15" t="s">
        <v>21</v>
      </c>
      <c r="O61" s="18"/>
    </row>
    <row r="62" spans="1:15" x14ac:dyDescent="0.25">
      <c r="A62" s="14" t="s">
        <v>149</v>
      </c>
      <c r="B62" s="15">
        <v>24167</v>
      </c>
      <c r="C62" s="15" t="s">
        <v>42</v>
      </c>
      <c r="D62" s="15" t="s">
        <v>43</v>
      </c>
      <c r="E62" s="15" t="s">
        <v>25</v>
      </c>
      <c r="F62" s="15" t="s">
        <v>18</v>
      </c>
      <c r="G62" s="15" t="s">
        <v>19</v>
      </c>
      <c r="H62" s="15" t="s">
        <v>28</v>
      </c>
      <c r="I62" s="16">
        <v>44610</v>
      </c>
      <c r="J62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44975</v>
      </c>
      <c r="K62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44975</v>
      </c>
      <c r="L62" s="15">
        <f ca="1">IFERROR(Tb_funcionarios[[#This Row],[Data do Vencimento]]-TODAY(),"")</f>
        <v>-38</v>
      </c>
      <c r="M62" s="15" t="str">
        <f ca="1">IF(Tb_funcionarios[[#This Row],[Tipo]]="","Preencher dados faltantes",IF(Tb_funcionarios[[#This Row],[Tipo]]="Demissional","Funcionário desligado",IF(L62&gt;30,"Válido",IF(L62&lt;0,"Vencido",IF(L62&lt;=30,"Menos de 30 dias para vencer")))))</f>
        <v>Vencido</v>
      </c>
      <c r="N62" s="15" t="s">
        <v>21</v>
      </c>
      <c r="O62" s="18">
        <v>44970</v>
      </c>
    </row>
    <row r="63" spans="1:15" x14ac:dyDescent="0.25">
      <c r="A63" s="14" t="s">
        <v>150</v>
      </c>
      <c r="B63" s="15">
        <v>22587</v>
      </c>
      <c r="C63" s="15" t="s">
        <v>42</v>
      </c>
      <c r="D63" s="15" t="s">
        <v>43</v>
      </c>
      <c r="E63" s="15" t="s">
        <v>25</v>
      </c>
      <c r="F63" s="15" t="s">
        <v>18</v>
      </c>
      <c r="G63" s="15" t="s">
        <v>19</v>
      </c>
      <c r="H63" s="15" t="s">
        <v>28</v>
      </c>
      <c r="I63" s="16">
        <v>44763</v>
      </c>
      <c r="J63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45128</v>
      </c>
      <c r="K63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45128</v>
      </c>
      <c r="L63" s="15">
        <f ca="1">IFERROR(Tb_funcionarios[[#This Row],[Data do Vencimento]]-TODAY(),"")</f>
        <v>115</v>
      </c>
      <c r="M63" s="15" t="str">
        <f ca="1">IF(Tb_funcionarios[[#This Row],[Tipo]]="","Preencher dados faltantes",IF(Tb_funcionarios[[#This Row],[Tipo]]="Demissional","Funcionário desligado",IF(L63&gt;30,"Válido",IF(L63&lt;0,"Vencido",IF(L63&lt;=30,"Menos de 30 dias para vencer")))))</f>
        <v>Válido</v>
      </c>
      <c r="N63" s="15" t="s">
        <v>21</v>
      </c>
      <c r="O63" s="18"/>
    </row>
    <row r="64" spans="1:15" x14ac:dyDescent="0.25">
      <c r="A64" s="14" t="s">
        <v>151</v>
      </c>
      <c r="B64" s="15">
        <v>12425</v>
      </c>
      <c r="C64" s="15" t="s">
        <v>42</v>
      </c>
      <c r="D64" s="15" t="s">
        <v>43</v>
      </c>
      <c r="E64" s="15" t="s">
        <v>25</v>
      </c>
      <c r="F64" s="15" t="s">
        <v>18</v>
      </c>
      <c r="G64" s="15" t="s">
        <v>19</v>
      </c>
      <c r="H64" s="15" t="s">
        <v>28</v>
      </c>
      <c r="I64" s="16">
        <v>44821</v>
      </c>
      <c r="J64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45186</v>
      </c>
      <c r="K64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45186</v>
      </c>
      <c r="L64" s="15">
        <f ca="1">IFERROR(Tb_funcionarios[[#This Row],[Data do Vencimento]]-TODAY(),"")</f>
        <v>173</v>
      </c>
      <c r="M64" s="15" t="str">
        <f ca="1">IF(Tb_funcionarios[[#This Row],[Tipo]]="","Preencher dados faltantes",IF(Tb_funcionarios[[#This Row],[Tipo]]="Demissional","Funcionário desligado",IF(L64&gt;30,"Válido",IF(L64&lt;0,"Vencido",IF(L64&lt;=30,"Menos de 30 dias para vencer")))))</f>
        <v>Válido</v>
      </c>
      <c r="N64" s="15" t="s">
        <v>21</v>
      </c>
      <c r="O64" s="18"/>
    </row>
    <row r="65" spans="1:15" x14ac:dyDescent="0.25">
      <c r="A65" s="14" t="s">
        <v>152</v>
      </c>
      <c r="B65" s="15">
        <v>12036</v>
      </c>
      <c r="C65" s="15" t="s">
        <v>42</v>
      </c>
      <c r="D65" s="15" t="s">
        <v>32</v>
      </c>
      <c r="E65" s="15" t="s">
        <v>25</v>
      </c>
      <c r="F65" s="15" t="s">
        <v>18</v>
      </c>
      <c r="G65" s="15" t="s">
        <v>19</v>
      </c>
      <c r="H65" s="15" t="s">
        <v>28</v>
      </c>
      <c r="I65" s="16">
        <v>44607</v>
      </c>
      <c r="J65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44972</v>
      </c>
      <c r="K65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44972</v>
      </c>
      <c r="L65" s="15">
        <f ca="1">IFERROR(Tb_funcionarios[[#This Row],[Data do Vencimento]]-TODAY(),"")</f>
        <v>-41</v>
      </c>
      <c r="M65" s="15" t="str">
        <f ca="1">IF(Tb_funcionarios[[#This Row],[Tipo]]="","Preencher dados faltantes",IF(Tb_funcionarios[[#This Row],[Tipo]]="Demissional","Funcionário desligado",IF(L65&gt;30,"Válido",IF(L65&lt;0,"Vencido",IF(L65&lt;=30,"Menos de 30 dias para vencer")))))</f>
        <v>Vencido</v>
      </c>
      <c r="N65" s="15" t="s">
        <v>21</v>
      </c>
      <c r="O65" s="18">
        <v>44970</v>
      </c>
    </row>
    <row r="66" spans="1:15" x14ac:dyDescent="0.25">
      <c r="A66" s="14" t="s">
        <v>153</v>
      </c>
      <c r="B66" s="15">
        <v>21478</v>
      </c>
      <c r="C66" s="15" t="s">
        <v>50</v>
      </c>
      <c r="D66" s="15" t="s">
        <v>154</v>
      </c>
      <c r="E66" s="15" t="s">
        <v>17</v>
      </c>
      <c r="F66" s="15" t="s">
        <v>37</v>
      </c>
      <c r="G66" s="15" t="s">
        <v>19</v>
      </c>
      <c r="H66" s="15" t="s">
        <v>61</v>
      </c>
      <c r="I66" s="16">
        <v>44638</v>
      </c>
      <c r="J66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45003</v>
      </c>
      <c r="K66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45003</v>
      </c>
      <c r="L66" s="15">
        <f ca="1">IFERROR(Tb_funcionarios[[#This Row],[Data do Vencimento]]-TODAY(),"")</f>
        <v>-10</v>
      </c>
      <c r="M66" s="15" t="str">
        <f ca="1">IF(Tb_funcionarios[[#This Row],[Tipo]]="","Preencher dados faltantes",IF(Tb_funcionarios[[#This Row],[Tipo]]="Demissional","Funcionário desligado",IF(L66&gt;30,"Válido",IF(L66&lt;0,"Vencido",IF(L66&lt;=30,"Menos de 30 dias para vencer")))))</f>
        <v>Vencido</v>
      </c>
      <c r="N66" s="15" t="s">
        <v>21</v>
      </c>
      <c r="O66" s="18"/>
    </row>
    <row r="67" spans="1:15" x14ac:dyDescent="0.25">
      <c r="A67" s="14" t="s">
        <v>155</v>
      </c>
      <c r="B67" s="15">
        <v>13693</v>
      </c>
      <c r="C67" s="15" t="s">
        <v>42</v>
      </c>
      <c r="D67" s="15" t="s">
        <v>156</v>
      </c>
      <c r="E67" s="15" t="s">
        <v>25</v>
      </c>
      <c r="F67" s="15" t="s">
        <v>18</v>
      </c>
      <c r="G67" s="15" t="s">
        <v>19</v>
      </c>
      <c r="H67" s="15" t="s">
        <v>28</v>
      </c>
      <c r="I67" s="16">
        <v>44840</v>
      </c>
      <c r="J67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45205</v>
      </c>
      <c r="K67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45205</v>
      </c>
      <c r="L67" s="15">
        <f ca="1">IFERROR(Tb_funcionarios[[#This Row],[Data do Vencimento]]-TODAY(),"")</f>
        <v>192</v>
      </c>
      <c r="M67" s="15" t="str">
        <f ca="1">IF(Tb_funcionarios[[#This Row],[Tipo]]="","Preencher dados faltantes",IF(Tb_funcionarios[[#This Row],[Tipo]]="Demissional","Funcionário desligado",IF(L67&gt;30,"Válido",IF(L67&lt;0,"Vencido",IF(L67&lt;=30,"Menos de 30 dias para vencer")))))</f>
        <v>Válido</v>
      </c>
      <c r="N67" s="15" t="s">
        <v>21</v>
      </c>
      <c r="O67" s="18"/>
    </row>
    <row r="68" spans="1:15" x14ac:dyDescent="0.25">
      <c r="A68" s="14" t="s">
        <v>157</v>
      </c>
      <c r="B68" s="15">
        <v>13996</v>
      </c>
      <c r="C68" s="15" t="s">
        <v>42</v>
      </c>
      <c r="D68" s="15" t="s">
        <v>111</v>
      </c>
      <c r="E68" s="15" t="s">
        <v>25</v>
      </c>
      <c r="F68" s="15" t="s">
        <v>18</v>
      </c>
      <c r="G68" s="15" t="s">
        <v>19</v>
      </c>
      <c r="H68" s="15" t="s">
        <v>61</v>
      </c>
      <c r="I68" s="16">
        <v>44691</v>
      </c>
      <c r="J68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45056</v>
      </c>
      <c r="K68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45056</v>
      </c>
      <c r="L68" s="15">
        <f ca="1">IFERROR(Tb_funcionarios[[#This Row],[Data do Vencimento]]-TODAY(),"")</f>
        <v>43</v>
      </c>
      <c r="M68" s="15" t="str">
        <f ca="1">IF(Tb_funcionarios[[#This Row],[Tipo]]="","Preencher dados faltantes",IF(Tb_funcionarios[[#This Row],[Tipo]]="Demissional","Funcionário desligado",IF(L68&gt;30,"Válido",IF(L68&lt;0,"Vencido",IF(L68&lt;=30,"Menos de 30 dias para vencer")))))</f>
        <v>Válido</v>
      </c>
      <c r="N68" s="15" t="s">
        <v>21</v>
      </c>
      <c r="O68" s="18"/>
    </row>
    <row r="69" spans="1:15" x14ac:dyDescent="0.25">
      <c r="A69" s="14" t="s">
        <v>158</v>
      </c>
      <c r="B69" s="15">
        <v>10314</v>
      </c>
      <c r="C69" s="15" t="s">
        <v>42</v>
      </c>
      <c r="D69" s="15" t="s">
        <v>111</v>
      </c>
      <c r="E69" s="15" t="s">
        <v>25</v>
      </c>
      <c r="F69" s="15" t="s">
        <v>18</v>
      </c>
      <c r="G69" s="15" t="s">
        <v>19</v>
      </c>
      <c r="H69" s="15" t="s">
        <v>28</v>
      </c>
      <c r="I69" s="16">
        <v>44852</v>
      </c>
      <c r="J69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45217</v>
      </c>
      <c r="K69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45217</v>
      </c>
      <c r="L69" s="15">
        <f ca="1">IFERROR(Tb_funcionarios[[#This Row],[Data do Vencimento]]-TODAY(),"")</f>
        <v>204</v>
      </c>
      <c r="M69" s="15" t="str">
        <f ca="1">IF(Tb_funcionarios[[#This Row],[Tipo]]="","Preencher dados faltantes",IF(Tb_funcionarios[[#This Row],[Tipo]]="Demissional","Funcionário desligado",IF(L69&gt;30,"Válido",IF(L69&lt;0,"Vencido",IF(L69&lt;=30,"Menos de 30 dias para vencer")))))</f>
        <v>Válido</v>
      </c>
      <c r="N69" s="15" t="s">
        <v>21</v>
      </c>
      <c r="O69" s="18"/>
    </row>
    <row r="70" spans="1:15" x14ac:dyDescent="0.25">
      <c r="A70" s="14" t="s">
        <v>159</v>
      </c>
      <c r="B70" s="15">
        <v>11837</v>
      </c>
      <c r="C70" s="15" t="s">
        <v>42</v>
      </c>
      <c r="D70" s="15" t="s">
        <v>43</v>
      </c>
      <c r="E70" s="15" t="s">
        <v>25</v>
      </c>
      <c r="F70" s="15" t="s">
        <v>18</v>
      </c>
      <c r="G70" s="15" t="s">
        <v>19</v>
      </c>
      <c r="H70" s="15" t="s">
        <v>28</v>
      </c>
      <c r="I70" s="16">
        <v>44854</v>
      </c>
      <c r="J70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45219</v>
      </c>
      <c r="K70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45219</v>
      </c>
      <c r="L70" s="15">
        <f ca="1">IFERROR(Tb_funcionarios[[#This Row],[Data do Vencimento]]-TODAY(),"")</f>
        <v>206</v>
      </c>
      <c r="M70" s="15" t="str">
        <f ca="1">IF(Tb_funcionarios[[#This Row],[Tipo]]="","Preencher dados faltantes",IF(Tb_funcionarios[[#This Row],[Tipo]]="Demissional","Funcionário desligado",IF(L70&gt;30,"Válido",IF(L70&lt;0,"Vencido",IF(L70&lt;=30,"Menos de 30 dias para vencer")))))</f>
        <v>Válido</v>
      </c>
      <c r="N70" s="15" t="s">
        <v>21</v>
      </c>
      <c r="O70" s="18"/>
    </row>
    <row r="71" spans="1:15" x14ac:dyDescent="0.25">
      <c r="A71" s="14" t="s">
        <v>160</v>
      </c>
      <c r="B71" s="15">
        <v>19194</v>
      </c>
      <c r="C71" s="15" t="s">
        <v>161</v>
      </c>
      <c r="D71" s="15" t="s">
        <v>95</v>
      </c>
      <c r="E71" s="15" t="s">
        <v>25</v>
      </c>
      <c r="F71" s="15" t="s">
        <v>37</v>
      </c>
      <c r="G71" s="15" t="s">
        <v>19</v>
      </c>
      <c r="H71" s="15" t="s">
        <v>28</v>
      </c>
      <c r="I71" s="16">
        <v>44763</v>
      </c>
      <c r="J71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45128</v>
      </c>
      <c r="K71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45128</v>
      </c>
      <c r="L71" s="15">
        <f ca="1">IFERROR(Tb_funcionarios[[#This Row],[Data do Vencimento]]-TODAY(),"")</f>
        <v>115</v>
      </c>
      <c r="M71" s="15" t="str">
        <f ca="1">IF(Tb_funcionarios[[#This Row],[Tipo]]="","Preencher dados faltantes",IF(Tb_funcionarios[[#This Row],[Tipo]]="Demissional","Funcionário desligado",IF(L71&gt;30,"Válido",IF(L71&lt;0,"Vencido",IF(L71&lt;=30,"Menos de 30 dias para vencer")))))</f>
        <v>Válido</v>
      </c>
      <c r="N71" s="15" t="s">
        <v>21</v>
      </c>
      <c r="O71" s="18"/>
    </row>
    <row r="72" spans="1:15" x14ac:dyDescent="0.25">
      <c r="A72" s="14" t="s">
        <v>162</v>
      </c>
      <c r="B72" s="15">
        <v>20823</v>
      </c>
      <c r="C72" s="15" t="s">
        <v>103</v>
      </c>
      <c r="D72" s="15" t="s">
        <v>43</v>
      </c>
      <c r="E72" s="15" t="s">
        <v>25</v>
      </c>
      <c r="F72" s="15" t="s">
        <v>57</v>
      </c>
      <c r="G72" s="15" t="s">
        <v>27</v>
      </c>
      <c r="H72" s="15" t="s">
        <v>28</v>
      </c>
      <c r="I72" s="16">
        <v>44600</v>
      </c>
      <c r="J72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44781</v>
      </c>
      <c r="K72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44781</v>
      </c>
      <c r="L72" s="15">
        <f ca="1">IFERROR(Tb_funcionarios[[#This Row],[Data do Vencimento]]-TODAY(),"")</f>
        <v>-232</v>
      </c>
      <c r="M72" s="15" t="str">
        <f ca="1">IF(Tb_funcionarios[[#This Row],[Tipo]]="","Preencher dados faltantes",IF(Tb_funcionarios[[#This Row],[Tipo]]="Demissional","Funcionário desligado",IF(L72&gt;30,"Válido",IF(L72&lt;0,"Vencido",IF(L72&lt;=30,"Menos de 30 dias para vencer")))))</f>
        <v>Vencido</v>
      </c>
      <c r="N72" s="15" t="s">
        <v>21</v>
      </c>
      <c r="O72" s="18" t="s">
        <v>29</v>
      </c>
    </row>
    <row r="73" spans="1:15" x14ac:dyDescent="0.25">
      <c r="A73" s="14" t="s">
        <v>163</v>
      </c>
      <c r="B73" s="15">
        <v>21504</v>
      </c>
      <c r="C73" s="15" t="s">
        <v>63</v>
      </c>
      <c r="D73" s="15" t="s">
        <v>211</v>
      </c>
      <c r="E73" s="15" t="s">
        <v>17</v>
      </c>
      <c r="F73" s="15" t="s">
        <v>18</v>
      </c>
      <c r="G73" s="15" t="s">
        <v>19</v>
      </c>
      <c r="H73" s="15" t="s">
        <v>28</v>
      </c>
      <c r="I73" s="16">
        <v>44805</v>
      </c>
      <c r="J73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45170</v>
      </c>
      <c r="K73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45170</v>
      </c>
      <c r="L73" s="15">
        <f ca="1">IFERROR(Tb_funcionarios[[#This Row],[Data do Vencimento]]-TODAY(),"")</f>
        <v>157</v>
      </c>
      <c r="M73" s="15" t="str">
        <f ca="1">IF(Tb_funcionarios[[#This Row],[Tipo]]="","Preencher dados faltantes",IF(Tb_funcionarios[[#This Row],[Tipo]]="Demissional","Funcionário desligado",IF(L73&gt;30,"Válido",IF(L73&lt;0,"Vencido",IF(L73&lt;=30,"Menos de 30 dias para vencer")))))</f>
        <v>Válido</v>
      </c>
      <c r="N73" s="15" t="s">
        <v>21</v>
      </c>
      <c r="O73" s="18"/>
    </row>
    <row r="74" spans="1:15" x14ac:dyDescent="0.25">
      <c r="A74" s="14" t="s">
        <v>164</v>
      </c>
      <c r="B74" s="15">
        <v>22095</v>
      </c>
      <c r="C74" s="15" t="s">
        <v>45</v>
      </c>
      <c r="D74" s="15" t="s">
        <v>165</v>
      </c>
      <c r="E74" s="15" t="s">
        <v>17</v>
      </c>
      <c r="F74" s="15" t="s">
        <v>18</v>
      </c>
      <c r="G74" s="15" t="s">
        <v>19</v>
      </c>
      <c r="H74" s="15" t="s">
        <v>28</v>
      </c>
      <c r="I74" s="16">
        <v>44600</v>
      </c>
      <c r="J74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44965</v>
      </c>
      <c r="K74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44965</v>
      </c>
      <c r="L74" s="15">
        <f ca="1">IFERROR(Tb_funcionarios[[#This Row],[Data do Vencimento]]-TODAY(),"")</f>
        <v>-48</v>
      </c>
      <c r="M74" s="15" t="str">
        <f ca="1">IF(Tb_funcionarios[[#This Row],[Tipo]]="","Preencher dados faltantes",IF(Tb_funcionarios[[#This Row],[Tipo]]="Demissional","Funcionário desligado",IF(L74&gt;30,"Válido",IF(L74&lt;0,"Vencido",IF(L74&lt;=30,"Menos de 30 dias para vencer")))))</f>
        <v>Vencido</v>
      </c>
      <c r="N74" s="15" t="s">
        <v>21</v>
      </c>
      <c r="O74" s="18">
        <v>44973</v>
      </c>
    </row>
    <row r="75" spans="1:15" x14ac:dyDescent="0.25">
      <c r="A75" s="14" t="s">
        <v>166</v>
      </c>
      <c r="B75" s="15">
        <v>17784</v>
      </c>
      <c r="C75" s="15" t="s">
        <v>167</v>
      </c>
      <c r="D75" s="15" t="s">
        <v>168</v>
      </c>
      <c r="E75" s="15" t="s">
        <v>25</v>
      </c>
      <c r="F75" s="15" t="s">
        <v>18</v>
      </c>
      <c r="G75" s="15" t="s">
        <v>19</v>
      </c>
      <c r="H75" s="15" t="s">
        <v>28</v>
      </c>
      <c r="I75" s="16">
        <v>44749</v>
      </c>
      <c r="J75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45114</v>
      </c>
      <c r="K75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45114</v>
      </c>
      <c r="L75" s="15">
        <f ca="1">IFERROR(Tb_funcionarios[[#This Row],[Data do Vencimento]]-TODAY(),"")</f>
        <v>101</v>
      </c>
      <c r="M75" s="15" t="str">
        <f ca="1">IF(Tb_funcionarios[[#This Row],[Tipo]]="","Preencher dados faltantes",IF(Tb_funcionarios[[#This Row],[Tipo]]="Demissional","Funcionário desligado",IF(L75&gt;30,"Válido",IF(L75&lt;0,"Vencido",IF(L75&lt;=30,"Menos de 30 dias para vencer")))))</f>
        <v>Válido</v>
      </c>
      <c r="N75" s="15" t="s">
        <v>21</v>
      </c>
      <c r="O75" s="18"/>
    </row>
    <row r="76" spans="1:15" x14ac:dyDescent="0.25">
      <c r="A76" s="14" t="s">
        <v>169</v>
      </c>
      <c r="B76" s="15">
        <v>14346</v>
      </c>
      <c r="C76" s="15" t="s">
        <v>113</v>
      </c>
      <c r="D76" s="15" t="s">
        <v>170</v>
      </c>
      <c r="E76" s="15" t="s">
        <v>17</v>
      </c>
      <c r="F76" s="15" t="s">
        <v>26</v>
      </c>
      <c r="G76" s="15" t="s">
        <v>27</v>
      </c>
      <c r="H76" s="15" t="s">
        <v>28</v>
      </c>
      <c r="I76" s="16">
        <v>44721</v>
      </c>
      <c r="J76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44904</v>
      </c>
      <c r="K76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44904</v>
      </c>
      <c r="L76" s="15">
        <f ca="1">IFERROR(Tb_funcionarios[[#This Row],[Data do Vencimento]]-TODAY(),"")</f>
        <v>-109</v>
      </c>
      <c r="M76" s="15" t="str">
        <f ca="1">IF(Tb_funcionarios[[#This Row],[Tipo]]="","Preencher dados faltantes",IF(Tb_funcionarios[[#This Row],[Tipo]]="Demissional","Funcionário desligado",IF(L76&gt;30,"Válido",IF(L76&lt;0,"Vencido",IF(L76&lt;=30,"Menos de 30 dias para vencer")))))</f>
        <v>Vencido</v>
      </c>
      <c r="N76" s="15" t="s">
        <v>21</v>
      </c>
      <c r="O76" s="18" t="s">
        <v>29</v>
      </c>
    </row>
    <row r="77" spans="1:15" x14ac:dyDescent="0.25">
      <c r="A77" s="14" t="s">
        <v>171</v>
      </c>
      <c r="B77" s="15">
        <v>21404</v>
      </c>
      <c r="C77" s="15" t="s">
        <v>42</v>
      </c>
      <c r="D77" s="15" t="s">
        <v>60</v>
      </c>
      <c r="E77" s="15" t="s">
        <v>17</v>
      </c>
      <c r="F77" s="15" t="s">
        <v>18</v>
      </c>
      <c r="G77" s="15" t="s">
        <v>19</v>
      </c>
      <c r="H77" s="15" t="s">
        <v>28</v>
      </c>
      <c r="I77" s="16">
        <v>44805</v>
      </c>
      <c r="J77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45170</v>
      </c>
      <c r="K77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45170</v>
      </c>
      <c r="L77" s="15">
        <f ca="1">IFERROR(Tb_funcionarios[[#This Row],[Data do Vencimento]]-TODAY(),"")</f>
        <v>157</v>
      </c>
      <c r="M77" s="15" t="str">
        <f ca="1">IF(Tb_funcionarios[[#This Row],[Tipo]]="","Preencher dados faltantes",IF(Tb_funcionarios[[#This Row],[Tipo]]="Demissional","Funcionário desligado",IF(L77&gt;30,"Válido",IF(L77&lt;0,"Vencido",IF(L77&lt;=30,"Menos de 30 dias para vencer")))))</f>
        <v>Válido</v>
      </c>
      <c r="N77" s="15" t="s">
        <v>21</v>
      </c>
      <c r="O77" s="18"/>
    </row>
    <row r="78" spans="1:15" x14ac:dyDescent="0.25">
      <c r="A78" s="14" t="s">
        <v>172</v>
      </c>
      <c r="B78" s="15">
        <v>20370</v>
      </c>
      <c r="C78" s="15" t="s">
        <v>173</v>
      </c>
      <c r="D78" s="15" t="s">
        <v>71</v>
      </c>
      <c r="E78" s="15" t="s">
        <v>17</v>
      </c>
      <c r="F78" s="15" t="s">
        <v>18</v>
      </c>
      <c r="G78" s="15" t="s">
        <v>19</v>
      </c>
      <c r="H78" s="15" t="s">
        <v>28</v>
      </c>
      <c r="I78" s="16">
        <v>44838</v>
      </c>
      <c r="J78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45203</v>
      </c>
      <c r="K78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45203</v>
      </c>
      <c r="L78" s="15">
        <f ca="1">IFERROR(Tb_funcionarios[[#This Row],[Data do Vencimento]]-TODAY(),"")</f>
        <v>190</v>
      </c>
      <c r="M78" s="15" t="str">
        <f ca="1">IF(Tb_funcionarios[[#This Row],[Tipo]]="","Preencher dados faltantes",IF(Tb_funcionarios[[#This Row],[Tipo]]="Demissional","Funcionário desligado",IF(L78&gt;30,"Válido",IF(L78&lt;0,"Vencido",IF(L78&lt;=30,"Menos de 30 dias para vencer")))))</f>
        <v>Válido</v>
      </c>
      <c r="N78" s="15" t="s">
        <v>21</v>
      </c>
      <c r="O78" s="18"/>
    </row>
    <row r="79" spans="1:15" x14ac:dyDescent="0.25">
      <c r="A79" s="14" t="s">
        <v>174</v>
      </c>
      <c r="B79" s="15">
        <v>18908</v>
      </c>
      <c r="C79" s="15" t="s">
        <v>175</v>
      </c>
      <c r="D79" s="15" t="s">
        <v>98</v>
      </c>
      <c r="E79" s="15" t="s">
        <v>25</v>
      </c>
      <c r="F79" s="15" t="s">
        <v>18</v>
      </c>
      <c r="G79" s="15" t="s">
        <v>19</v>
      </c>
      <c r="H79" s="15" t="s">
        <v>28</v>
      </c>
      <c r="I79" s="16">
        <v>44769</v>
      </c>
      <c r="J79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45134</v>
      </c>
      <c r="K79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45134</v>
      </c>
      <c r="L79" s="15">
        <f ca="1">IFERROR(Tb_funcionarios[[#This Row],[Data do Vencimento]]-TODAY(),"")</f>
        <v>121</v>
      </c>
      <c r="M79" s="15" t="str">
        <f ca="1">IF(Tb_funcionarios[[#This Row],[Tipo]]="","Preencher dados faltantes",IF(Tb_funcionarios[[#This Row],[Tipo]]="Demissional","Funcionário desligado",IF(L79&gt;30,"Válido",IF(L79&lt;0,"Vencido",IF(L79&lt;=30,"Menos de 30 dias para vencer")))))</f>
        <v>Válido</v>
      </c>
      <c r="N79" s="15" t="s">
        <v>21</v>
      </c>
      <c r="O79" s="18"/>
    </row>
    <row r="80" spans="1:15" x14ac:dyDescent="0.25">
      <c r="A80" s="14" t="s">
        <v>176</v>
      </c>
      <c r="B80" s="15">
        <v>10813</v>
      </c>
      <c r="C80" s="15" t="s">
        <v>42</v>
      </c>
      <c r="D80" s="15" t="s">
        <v>165</v>
      </c>
      <c r="E80" s="15" t="s">
        <v>17</v>
      </c>
      <c r="F80" s="15" t="s">
        <v>18</v>
      </c>
      <c r="G80" s="15" t="s">
        <v>19</v>
      </c>
      <c r="H80" s="15" t="s">
        <v>28</v>
      </c>
      <c r="I80" s="16">
        <v>44840</v>
      </c>
      <c r="J80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45205</v>
      </c>
      <c r="K80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45205</v>
      </c>
      <c r="L80" s="15">
        <f ca="1">IFERROR(Tb_funcionarios[[#This Row],[Data do Vencimento]]-TODAY(),"")</f>
        <v>192</v>
      </c>
      <c r="M80" s="15" t="str">
        <f ca="1">IF(Tb_funcionarios[[#This Row],[Tipo]]="","Preencher dados faltantes",IF(Tb_funcionarios[[#This Row],[Tipo]]="Demissional","Funcionário desligado",IF(L80&gt;30,"Válido",IF(L80&lt;0,"Vencido",IF(L80&lt;=30,"Menos de 30 dias para vencer")))))</f>
        <v>Válido</v>
      </c>
      <c r="N80" s="15" t="s">
        <v>21</v>
      </c>
      <c r="O80" s="18"/>
    </row>
    <row r="81" spans="1:15" x14ac:dyDescent="0.25">
      <c r="A81" s="14" t="s">
        <v>177</v>
      </c>
      <c r="B81" s="15">
        <v>11343</v>
      </c>
      <c r="C81" s="15" t="s">
        <v>42</v>
      </c>
      <c r="D81" s="15" t="s">
        <v>73</v>
      </c>
      <c r="E81" s="15" t="s">
        <v>25</v>
      </c>
      <c r="F81" s="15" t="s">
        <v>18</v>
      </c>
      <c r="G81" s="15" t="s">
        <v>19</v>
      </c>
      <c r="H81" s="15" t="s">
        <v>28</v>
      </c>
      <c r="I81" s="16">
        <v>44741</v>
      </c>
      <c r="J81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45106</v>
      </c>
      <c r="K81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45106</v>
      </c>
      <c r="L81" s="15">
        <f ca="1">IFERROR(Tb_funcionarios[[#This Row],[Data do Vencimento]]-TODAY(),"")</f>
        <v>93</v>
      </c>
      <c r="M81" s="15" t="str">
        <f ca="1">IF(Tb_funcionarios[[#This Row],[Tipo]]="","Preencher dados faltantes",IF(Tb_funcionarios[[#This Row],[Tipo]]="Demissional","Funcionário desligado",IF(L81&gt;30,"Válido",IF(L81&lt;0,"Vencido",IF(L81&lt;=30,"Menos de 30 dias para vencer")))))</f>
        <v>Válido</v>
      </c>
      <c r="N81" s="15" t="s">
        <v>21</v>
      </c>
      <c r="O81" s="18"/>
    </row>
    <row r="82" spans="1:15" x14ac:dyDescent="0.25">
      <c r="A82" s="14" t="s">
        <v>178</v>
      </c>
      <c r="B82" s="15">
        <v>13037</v>
      </c>
      <c r="C82" s="15" t="s">
        <v>42</v>
      </c>
      <c r="D82" s="15" t="s">
        <v>179</v>
      </c>
      <c r="E82" s="15" t="s">
        <v>17</v>
      </c>
      <c r="F82" s="15" t="s">
        <v>18</v>
      </c>
      <c r="G82" s="15" t="s">
        <v>19</v>
      </c>
      <c r="H82" s="15" t="s">
        <v>28</v>
      </c>
      <c r="I82" s="16">
        <v>44672</v>
      </c>
      <c r="J82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45037</v>
      </c>
      <c r="K82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45037</v>
      </c>
      <c r="L82" s="15">
        <f ca="1">IFERROR(Tb_funcionarios[[#This Row],[Data do Vencimento]]-TODAY(),"")</f>
        <v>24</v>
      </c>
      <c r="M82" s="15" t="str">
        <f ca="1">IF(Tb_funcionarios[[#This Row],[Tipo]]="","Preencher dados faltantes",IF(Tb_funcionarios[[#This Row],[Tipo]]="Demissional","Funcionário desligado",IF(L82&gt;30,"Válido",IF(L82&lt;0,"Vencido",IF(L82&lt;=30,"Menos de 30 dias para vencer")))))</f>
        <v>Menos de 30 dias para vencer</v>
      </c>
      <c r="N82" s="15" t="s">
        <v>21</v>
      </c>
      <c r="O82" s="18"/>
    </row>
    <row r="83" spans="1:15" x14ac:dyDescent="0.25">
      <c r="A83" s="14" t="s">
        <v>180</v>
      </c>
      <c r="B83" s="15">
        <v>10952</v>
      </c>
      <c r="C83" s="15" t="s">
        <v>50</v>
      </c>
      <c r="D83" s="15" t="s">
        <v>170</v>
      </c>
      <c r="E83" s="15" t="s">
        <v>17</v>
      </c>
      <c r="F83" s="15" t="s">
        <v>37</v>
      </c>
      <c r="G83" s="15" t="s">
        <v>19</v>
      </c>
      <c r="H83" s="15" t="s">
        <v>28</v>
      </c>
      <c r="I83" s="16">
        <v>44852</v>
      </c>
      <c r="J83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45217</v>
      </c>
      <c r="K83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45217</v>
      </c>
      <c r="L83" s="15">
        <f ca="1">IFERROR(Tb_funcionarios[[#This Row],[Data do Vencimento]]-TODAY(),"")</f>
        <v>204</v>
      </c>
      <c r="M83" s="15" t="str">
        <f ca="1">IF(Tb_funcionarios[[#This Row],[Tipo]]="","Preencher dados faltantes",IF(Tb_funcionarios[[#This Row],[Tipo]]="Demissional","Funcionário desligado",IF(L83&gt;30,"Válido",IF(L83&lt;0,"Vencido",IF(L83&lt;=30,"Menos de 30 dias para vencer")))))</f>
        <v>Válido</v>
      </c>
      <c r="N83" s="15" t="s">
        <v>21</v>
      </c>
      <c r="O83" s="18"/>
    </row>
    <row r="84" spans="1:15" x14ac:dyDescent="0.25">
      <c r="A84" s="14" t="s">
        <v>181</v>
      </c>
      <c r="B84" s="15">
        <v>16786</v>
      </c>
      <c r="C84" s="15" t="s">
        <v>113</v>
      </c>
      <c r="D84" s="15" t="s">
        <v>79</v>
      </c>
      <c r="E84" s="15" t="s">
        <v>17</v>
      </c>
      <c r="F84" s="15" t="s">
        <v>26</v>
      </c>
      <c r="G84" s="15" t="s">
        <v>27</v>
      </c>
      <c r="H84" s="15" t="s">
        <v>28</v>
      </c>
      <c r="I84" s="16">
        <v>44821</v>
      </c>
      <c r="J84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45002</v>
      </c>
      <c r="K84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45002</v>
      </c>
      <c r="L84" s="15">
        <f ca="1">IFERROR(Tb_funcionarios[[#This Row],[Data do Vencimento]]-TODAY(),"")</f>
        <v>-11</v>
      </c>
      <c r="M84" s="15" t="str">
        <f ca="1">IF(Tb_funcionarios[[#This Row],[Tipo]]="","Preencher dados faltantes",IF(Tb_funcionarios[[#This Row],[Tipo]]="Demissional","Funcionário desligado",IF(L84&gt;30,"Válido",IF(L84&lt;0,"Vencido",IF(L84&lt;=30,"Menos de 30 dias para vencer")))))</f>
        <v>Vencido</v>
      </c>
      <c r="N84" s="15" t="s">
        <v>21</v>
      </c>
      <c r="O84" s="18"/>
    </row>
    <row r="85" spans="1:15" x14ac:dyDescent="0.25">
      <c r="A85" s="14" t="s">
        <v>182</v>
      </c>
      <c r="B85" s="15">
        <v>19874</v>
      </c>
      <c r="C85" s="15" t="s">
        <v>183</v>
      </c>
      <c r="D85" s="15" t="s">
        <v>55</v>
      </c>
      <c r="E85" s="15" t="s">
        <v>25</v>
      </c>
      <c r="F85" s="15" t="s">
        <v>18</v>
      </c>
      <c r="G85" s="15" t="s">
        <v>19</v>
      </c>
      <c r="H85" s="15" t="s">
        <v>28</v>
      </c>
      <c r="I85" s="16">
        <v>44600</v>
      </c>
      <c r="J85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44965</v>
      </c>
      <c r="K85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44965</v>
      </c>
      <c r="L85" s="15">
        <f ca="1">IFERROR(Tb_funcionarios[[#This Row],[Data do Vencimento]]-TODAY(),"")</f>
        <v>-48</v>
      </c>
      <c r="M85" s="15" t="str">
        <f ca="1">IF(Tb_funcionarios[[#This Row],[Tipo]]="","Preencher dados faltantes",IF(Tb_funcionarios[[#This Row],[Tipo]]="Demissional","Funcionário desligado",IF(L85&gt;30,"Válido",IF(L85&lt;0,"Vencido",IF(L85&lt;=30,"Menos de 30 dias para vencer")))))</f>
        <v>Vencido</v>
      </c>
      <c r="N85" s="15" t="s">
        <v>21</v>
      </c>
      <c r="O85" s="18">
        <v>44965</v>
      </c>
    </row>
    <row r="86" spans="1:15" x14ac:dyDescent="0.25">
      <c r="A86" s="14" t="s">
        <v>184</v>
      </c>
      <c r="B86" s="15">
        <v>23026</v>
      </c>
      <c r="C86" s="15" t="s">
        <v>185</v>
      </c>
      <c r="D86" s="15" t="s">
        <v>186</v>
      </c>
      <c r="E86" s="15" t="s">
        <v>17</v>
      </c>
      <c r="F86" s="15" t="s">
        <v>18</v>
      </c>
      <c r="G86" s="15" t="s">
        <v>19</v>
      </c>
      <c r="H86" s="15" t="s">
        <v>28</v>
      </c>
      <c r="I86" s="16">
        <v>44838</v>
      </c>
      <c r="J86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45203</v>
      </c>
      <c r="K86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45203</v>
      </c>
      <c r="L86" s="15">
        <f ca="1">IFERROR(Tb_funcionarios[[#This Row],[Data do Vencimento]]-TODAY(),"")</f>
        <v>190</v>
      </c>
      <c r="M86" s="15" t="str">
        <f ca="1">IF(Tb_funcionarios[[#This Row],[Tipo]]="","Preencher dados faltantes",IF(Tb_funcionarios[[#This Row],[Tipo]]="Demissional","Funcionário desligado",IF(L86&gt;30,"Válido",IF(L86&lt;0,"Vencido",IF(L86&lt;=30,"Menos de 30 dias para vencer")))))</f>
        <v>Válido</v>
      </c>
      <c r="N86" s="15" t="s">
        <v>21</v>
      </c>
      <c r="O86" s="18"/>
    </row>
    <row r="87" spans="1:15" x14ac:dyDescent="0.25">
      <c r="A87" s="14" t="s">
        <v>187</v>
      </c>
      <c r="B87" s="15">
        <v>12605</v>
      </c>
      <c r="C87" s="15" t="s">
        <v>82</v>
      </c>
      <c r="D87" s="15" t="s">
        <v>83</v>
      </c>
      <c r="E87" s="15" t="s">
        <v>25</v>
      </c>
      <c r="F87" s="15" t="s">
        <v>26</v>
      </c>
      <c r="G87" s="15" t="s">
        <v>27</v>
      </c>
      <c r="H87" s="15" t="s">
        <v>28</v>
      </c>
      <c r="I87" s="16">
        <v>44854</v>
      </c>
      <c r="J87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45036</v>
      </c>
      <c r="K87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45036</v>
      </c>
      <c r="L87" s="15">
        <f ca="1">IFERROR(Tb_funcionarios[[#This Row],[Data do Vencimento]]-TODAY(),"")</f>
        <v>23</v>
      </c>
      <c r="M87" s="15" t="str">
        <f ca="1">IF(Tb_funcionarios[[#This Row],[Tipo]]="","Preencher dados faltantes",IF(Tb_funcionarios[[#This Row],[Tipo]]="Demissional","Funcionário desligado",IF(L87&gt;30,"Válido",IF(L87&lt;0,"Vencido",IF(L87&lt;=30,"Menos de 30 dias para vencer")))))</f>
        <v>Menos de 30 dias para vencer</v>
      </c>
      <c r="N87" s="15" t="s">
        <v>21</v>
      </c>
      <c r="O87" s="18"/>
    </row>
    <row r="88" spans="1:15" x14ac:dyDescent="0.25">
      <c r="A88" s="14" t="s">
        <v>188</v>
      </c>
      <c r="B88" s="15">
        <v>13491</v>
      </c>
      <c r="C88" s="15" t="s">
        <v>82</v>
      </c>
      <c r="D88" s="15" t="s">
        <v>111</v>
      </c>
      <c r="E88" s="15" t="s">
        <v>25</v>
      </c>
      <c r="F88" s="15" t="s">
        <v>18</v>
      </c>
      <c r="G88" s="15" t="s">
        <v>19</v>
      </c>
      <c r="H88" s="15" t="s">
        <v>28</v>
      </c>
      <c r="I88" s="16">
        <v>44910</v>
      </c>
      <c r="J88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45275</v>
      </c>
      <c r="K88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45275</v>
      </c>
      <c r="L88" s="15">
        <f ca="1">IFERROR(Tb_funcionarios[[#This Row],[Data do Vencimento]]-TODAY(),"")</f>
        <v>262</v>
      </c>
      <c r="M88" s="15" t="str">
        <f ca="1">IF(Tb_funcionarios[[#This Row],[Tipo]]="","Preencher dados faltantes",IF(Tb_funcionarios[[#This Row],[Tipo]]="Demissional","Funcionário desligado",IF(L88&gt;30,"Válido",IF(L88&lt;0,"Vencido",IF(L88&lt;=30,"Menos de 30 dias para vencer")))))</f>
        <v>Válido</v>
      </c>
      <c r="N88" s="15" t="s">
        <v>21</v>
      </c>
      <c r="O88" s="18"/>
    </row>
    <row r="89" spans="1:15" x14ac:dyDescent="0.25">
      <c r="A89" s="14" t="s">
        <v>189</v>
      </c>
      <c r="B89" s="15">
        <v>12359</v>
      </c>
      <c r="C89" s="15" t="s">
        <v>42</v>
      </c>
      <c r="D89" s="15" t="s">
        <v>73</v>
      </c>
      <c r="E89" s="15" t="s">
        <v>25</v>
      </c>
      <c r="F89" s="15" t="s">
        <v>18</v>
      </c>
      <c r="G89" s="15" t="s">
        <v>19</v>
      </c>
      <c r="H89" s="15" t="s">
        <v>28</v>
      </c>
      <c r="I89" s="16">
        <v>44741</v>
      </c>
      <c r="J89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45106</v>
      </c>
      <c r="K89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45106</v>
      </c>
      <c r="L89" s="15">
        <f ca="1">IFERROR(Tb_funcionarios[[#This Row],[Data do Vencimento]]-TODAY(),"")</f>
        <v>93</v>
      </c>
      <c r="M89" s="15" t="str">
        <f ca="1">IF(Tb_funcionarios[[#This Row],[Tipo]]="","Preencher dados faltantes",IF(Tb_funcionarios[[#This Row],[Tipo]]="Demissional","Funcionário desligado",IF(L89&gt;30,"Válido",IF(L89&lt;0,"Vencido",IF(L89&lt;=30,"Menos de 30 dias para vencer")))))</f>
        <v>Válido</v>
      </c>
      <c r="N89" s="15" t="s">
        <v>21</v>
      </c>
      <c r="O89" s="18"/>
    </row>
    <row r="90" spans="1:15" x14ac:dyDescent="0.25">
      <c r="A90" s="14" t="s">
        <v>190</v>
      </c>
      <c r="B90" s="15">
        <v>10344</v>
      </c>
      <c r="C90" s="15" t="s">
        <v>191</v>
      </c>
      <c r="D90" s="15" t="s">
        <v>24</v>
      </c>
      <c r="E90" s="15" t="s">
        <v>25</v>
      </c>
      <c r="F90" s="15" t="s">
        <v>26</v>
      </c>
      <c r="G90" s="15" t="s">
        <v>27</v>
      </c>
      <c r="H90" s="15" t="s">
        <v>28</v>
      </c>
      <c r="I90" s="16">
        <v>44838</v>
      </c>
      <c r="J90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45020</v>
      </c>
      <c r="K90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45020</v>
      </c>
      <c r="L90" s="15">
        <f ca="1">IFERROR(Tb_funcionarios[[#This Row],[Data do Vencimento]]-TODAY(),"")</f>
        <v>7</v>
      </c>
      <c r="M90" s="15" t="str">
        <f ca="1">IF(Tb_funcionarios[[#This Row],[Tipo]]="","Preencher dados faltantes",IF(Tb_funcionarios[[#This Row],[Tipo]]="Demissional","Funcionário desligado",IF(L90&gt;30,"Válido",IF(L90&lt;0,"Vencido",IF(L90&lt;=30,"Menos de 30 dias para vencer")))))</f>
        <v>Menos de 30 dias para vencer</v>
      </c>
      <c r="N90" s="15" t="s">
        <v>21</v>
      </c>
      <c r="O90" s="18"/>
    </row>
    <row r="91" spans="1:15" x14ac:dyDescent="0.25">
      <c r="A91" s="14" t="s">
        <v>192</v>
      </c>
      <c r="B91" s="15">
        <v>15993</v>
      </c>
      <c r="C91" s="15" t="s">
        <v>82</v>
      </c>
      <c r="D91" s="15" t="s">
        <v>83</v>
      </c>
      <c r="E91" s="15" t="s">
        <v>25</v>
      </c>
      <c r="F91" s="15" t="s">
        <v>26</v>
      </c>
      <c r="G91" s="15" t="s">
        <v>27</v>
      </c>
      <c r="H91" s="15" t="s">
        <v>28</v>
      </c>
      <c r="I91" s="16">
        <v>44783</v>
      </c>
      <c r="J91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44967</v>
      </c>
      <c r="K91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44967</v>
      </c>
      <c r="L91" s="15">
        <f ca="1">IFERROR(Tb_funcionarios[[#This Row],[Data do Vencimento]]-TODAY(),"")</f>
        <v>-46</v>
      </c>
      <c r="M91" s="15" t="str">
        <f ca="1">IF(Tb_funcionarios[[#This Row],[Tipo]]="","Preencher dados faltantes",IF(Tb_funcionarios[[#This Row],[Tipo]]="Demissional","Funcionário desligado",IF(L91&gt;30,"Válido",IF(L91&lt;0,"Vencido",IF(L91&lt;=30,"Menos de 30 dias para vencer")))))</f>
        <v>Vencido</v>
      </c>
      <c r="N91" s="15" t="s">
        <v>21</v>
      </c>
      <c r="O91" s="18">
        <v>44973</v>
      </c>
    </row>
    <row r="92" spans="1:15" x14ac:dyDescent="0.25">
      <c r="A92" s="14" t="s">
        <v>193</v>
      </c>
      <c r="B92" s="15">
        <v>18060</v>
      </c>
      <c r="C92" s="15" t="s">
        <v>42</v>
      </c>
      <c r="D92" s="15" t="s">
        <v>32</v>
      </c>
      <c r="E92" s="15" t="s">
        <v>25</v>
      </c>
      <c r="F92" s="15" t="s">
        <v>18</v>
      </c>
      <c r="G92" s="15" t="s">
        <v>19</v>
      </c>
      <c r="H92" s="15" t="s">
        <v>28</v>
      </c>
      <c r="I92" s="16">
        <v>44587</v>
      </c>
      <c r="J92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44952</v>
      </c>
      <c r="K92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44952</v>
      </c>
      <c r="L92" s="15">
        <f ca="1">IFERROR(Tb_funcionarios[[#This Row],[Data do Vencimento]]-TODAY(),"")</f>
        <v>-61</v>
      </c>
      <c r="M92" s="15" t="str">
        <f ca="1">IF(Tb_funcionarios[[#This Row],[Tipo]]="","Preencher dados faltantes",IF(Tb_funcionarios[[#This Row],[Tipo]]="Demissional","Funcionário desligado",IF(L92&gt;30,"Válido",IF(L92&lt;0,"Vencido",IF(L92&lt;=30,"Menos de 30 dias para vencer")))))</f>
        <v>Vencido</v>
      </c>
      <c r="N92" s="15" t="s">
        <v>21</v>
      </c>
      <c r="O92" s="18"/>
    </row>
    <row r="93" spans="1:15" x14ac:dyDescent="0.25">
      <c r="A93" s="14" t="s">
        <v>194</v>
      </c>
      <c r="B93" s="15">
        <v>11031</v>
      </c>
      <c r="C93" s="15" t="s">
        <v>42</v>
      </c>
      <c r="D93" s="15" t="s">
        <v>16</v>
      </c>
      <c r="E93" s="15" t="s">
        <v>17</v>
      </c>
      <c r="F93" s="15" t="s">
        <v>18</v>
      </c>
      <c r="G93" s="15" t="s">
        <v>19</v>
      </c>
      <c r="H93" s="15" t="s">
        <v>28</v>
      </c>
      <c r="I93" s="16">
        <v>44706</v>
      </c>
      <c r="J93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45071</v>
      </c>
      <c r="K93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45071</v>
      </c>
      <c r="L93" s="15">
        <f ca="1">IFERROR(Tb_funcionarios[[#This Row],[Data do Vencimento]]-TODAY(),"")</f>
        <v>58</v>
      </c>
      <c r="M93" s="15" t="str">
        <f ca="1">IF(Tb_funcionarios[[#This Row],[Tipo]]="","Preencher dados faltantes",IF(Tb_funcionarios[[#This Row],[Tipo]]="Demissional","Funcionário desligado",IF(L93&gt;30,"Válido",IF(L93&lt;0,"Vencido",IF(L93&lt;=30,"Menos de 30 dias para vencer")))))</f>
        <v>Válido</v>
      </c>
      <c r="N93" s="15" t="s">
        <v>21</v>
      </c>
      <c r="O93" s="18"/>
    </row>
    <row r="94" spans="1:15" x14ac:dyDescent="0.25">
      <c r="A94" s="14" t="s">
        <v>195</v>
      </c>
      <c r="B94" s="15">
        <v>19226</v>
      </c>
      <c r="C94" s="15" t="s">
        <v>42</v>
      </c>
      <c r="D94" s="15" t="s">
        <v>43</v>
      </c>
      <c r="E94" s="15" t="s">
        <v>25</v>
      </c>
      <c r="F94" s="15" t="s">
        <v>18</v>
      </c>
      <c r="G94" s="15" t="s">
        <v>19</v>
      </c>
      <c r="H94" s="15" t="s">
        <v>28</v>
      </c>
      <c r="I94" s="16">
        <v>44796</v>
      </c>
      <c r="J94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45161</v>
      </c>
      <c r="K94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45161</v>
      </c>
      <c r="L94" s="15">
        <f ca="1">IFERROR(Tb_funcionarios[[#This Row],[Data do Vencimento]]-TODAY(),"")</f>
        <v>148</v>
      </c>
      <c r="M94" s="15" t="str">
        <f ca="1">IF(Tb_funcionarios[[#This Row],[Tipo]]="","Preencher dados faltantes",IF(Tb_funcionarios[[#This Row],[Tipo]]="Demissional","Funcionário desligado",IF(L94&gt;30,"Válido",IF(L94&lt;0,"Vencido",IF(L94&lt;=30,"Menos de 30 dias para vencer")))))</f>
        <v>Válido</v>
      </c>
      <c r="N94" s="15" t="s">
        <v>21</v>
      </c>
      <c r="O94" s="18"/>
    </row>
    <row r="95" spans="1:15" x14ac:dyDescent="0.25">
      <c r="A95" s="14" t="s">
        <v>196</v>
      </c>
      <c r="B95" s="15">
        <v>20382</v>
      </c>
      <c r="C95" s="15" t="s">
        <v>103</v>
      </c>
      <c r="D95" s="15" t="s">
        <v>43</v>
      </c>
      <c r="E95" s="15" t="s">
        <v>25</v>
      </c>
      <c r="F95" s="15" t="s">
        <v>57</v>
      </c>
      <c r="G95" s="15" t="s">
        <v>27</v>
      </c>
      <c r="H95" s="15" t="s">
        <v>106</v>
      </c>
      <c r="I95" s="16">
        <v>44834</v>
      </c>
      <c r="J95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45015</v>
      </c>
      <c r="K95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45015</v>
      </c>
      <c r="L95" s="15">
        <f ca="1">IFERROR(Tb_funcionarios[[#This Row],[Data do Vencimento]]-TODAY(),"")</f>
        <v>2</v>
      </c>
      <c r="M95" s="15" t="str">
        <f ca="1">IF(Tb_funcionarios[[#This Row],[Tipo]]="","Preencher dados faltantes",IF(Tb_funcionarios[[#This Row],[Tipo]]="Demissional","Funcionário desligado",IF(L95&gt;30,"Válido",IF(L95&lt;0,"Vencido",IF(L95&lt;=30,"Menos de 30 dias para vencer")))))</f>
        <v>Menos de 30 dias para vencer</v>
      </c>
      <c r="N95" s="15" t="s">
        <v>21</v>
      </c>
      <c r="O95" s="18"/>
    </row>
    <row r="96" spans="1:15" x14ac:dyDescent="0.25">
      <c r="A96" s="14" t="s">
        <v>197</v>
      </c>
      <c r="B96" s="15">
        <v>24522</v>
      </c>
      <c r="C96" s="15" t="s">
        <v>141</v>
      </c>
      <c r="D96" s="15" t="s">
        <v>142</v>
      </c>
      <c r="E96" s="15" t="s">
        <v>25</v>
      </c>
      <c r="F96" s="15" t="s">
        <v>18</v>
      </c>
      <c r="G96" s="15" t="s">
        <v>19</v>
      </c>
      <c r="H96" s="15" t="s">
        <v>28</v>
      </c>
      <c r="I96" s="16">
        <v>44838</v>
      </c>
      <c r="J96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45203</v>
      </c>
      <c r="K96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45203</v>
      </c>
      <c r="L96" s="15">
        <f ca="1">IFERROR(Tb_funcionarios[[#This Row],[Data do Vencimento]]-TODAY(),"")</f>
        <v>190</v>
      </c>
      <c r="M96" s="15" t="str">
        <f ca="1">IF(Tb_funcionarios[[#This Row],[Tipo]]="","Preencher dados faltantes",IF(Tb_funcionarios[[#This Row],[Tipo]]="Demissional","Funcionário desligado",IF(L96&gt;30,"Válido",IF(L96&lt;0,"Vencido",IF(L96&lt;=30,"Menos de 30 dias para vencer")))))</f>
        <v>Válido</v>
      </c>
      <c r="N96" s="15" t="s">
        <v>21</v>
      </c>
      <c r="O96" s="18"/>
    </row>
    <row r="97" spans="1:15" x14ac:dyDescent="0.25">
      <c r="A97" s="14" t="s">
        <v>198</v>
      </c>
      <c r="B97" s="15">
        <v>13519</v>
      </c>
      <c r="C97" s="15" t="s">
        <v>42</v>
      </c>
      <c r="D97" s="15" t="s">
        <v>109</v>
      </c>
      <c r="E97" s="15" t="s">
        <v>17</v>
      </c>
      <c r="F97" s="15" t="s">
        <v>18</v>
      </c>
      <c r="G97" s="15" t="s">
        <v>19</v>
      </c>
      <c r="H97" s="15" t="s">
        <v>28</v>
      </c>
      <c r="I97" s="16">
        <v>44838</v>
      </c>
      <c r="J97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45203</v>
      </c>
      <c r="K97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45203</v>
      </c>
      <c r="L97" s="15">
        <f ca="1">IFERROR(Tb_funcionarios[[#This Row],[Data do Vencimento]]-TODAY(),"")</f>
        <v>190</v>
      </c>
      <c r="M97" s="15" t="str">
        <f ca="1">IF(Tb_funcionarios[[#This Row],[Tipo]]="","Preencher dados faltantes",IF(Tb_funcionarios[[#This Row],[Tipo]]="Demissional","Funcionário desligado",IF(L97&gt;30,"Válido",IF(L97&lt;0,"Vencido",IF(L97&lt;=30,"Menos de 30 dias para vencer")))))</f>
        <v>Válido</v>
      </c>
      <c r="N97" s="15" t="s">
        <v>21</v>
      </c>
      <c r="O97" s="18"/>
    </row>
    <row r="98" spans="1:15" x14ac:dyDescent="0.25">
      <c r="A98" s="14" t="s">
        <v>199</v>
      </c>
      <c r="B98" s="15">
        <v>23484</v>
      </c>
      <c r="C98" s="15" t="s">
        <v>42</v>
      </c>
      <c r="D98" s="15" t="s">
        <v>55</v>
      </c>
      <c r="E98" s="15" t="s">
        <v>25</v>
      </c>
      <c r="F98" s="15" t="s">
        <v>18</v>
      </c>
      <c r="G98" s="15" t="s">
        <v>19</v>
      </c>
      <c r="H98" s="15" t="s">
        <v>28</v>
      </c>
      <c r="I98" s="16">
        <v>44593</v>
      </c>
      <c r="J98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44958</v>
      </c>
      <c r="K98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44958</v>
      </c>
      <c r="L98" s="15">
        <f ca="1">IFERROR(Tb_funcionarios[[#This Row],[Data do Vencimento]]-TODAY(),"")</f>
        <v>-55</v>
      </c>
      <c r="M98" s="15" t="str">
        <f ca="1">IF(Tb_funcionarios[[#This Row],[Tipo]]="","Preencher dados faltantes",IF(Tb_funcionarios[[#This Row],[Tipo]]="Demissional","Funcionário desligado",IF(L98&gt;30,"Válido",IF(L98&lt;0,"Vencido",IF(L98&lt;=30,"Menos de 30 dias para vencer")))))</f>
        <v>Vencido</v>
      </c>
      <c r="N98" s="15" t="s">
        <v>21</v>
      </c>
      <c r="O98" s="18">
        <v>44965</v>
      </c>
    </row>
    <row r="99" spans="1:15" x14ac:dyDescent="0.25">
      <c r="A99" s="14" t="s">
        <v>200</v>
      </c>
      <c r="B99" s="15">
        <v>22920</v>
      </c>
      <c r="C99" s="15" t="s">
        <v>113</v>
      </c>
      <c r="D99" s="15" t="s">
        <v>60</v>
      </c>
      <c r="E99" s="15" t="s">
        <v>17</v>
      </c>
      <c r="F99" s="15" t="s">
        <v>26</v>
      </c>
      <c r="G99" s="15" t="s">
        <v>27</v>
      </c>
      <c r="H99" s="15" t="s">
        <v>28</v>
      </c>
      <c r="I99" s="16">
        <v>44888</v>
      </c>
      <c r="J99" s="1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45069</v>
      </c>
      <c r="K99" s="1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45069</v>
      </c>
      <c r="L99" s="15">
        <f ca="1">IFERROR(Tb_funcionarios[[#This Row],[Data do Vencimento]]-TODAY(),"")</f>
        <v>56</v>
      </c>
      <c r="M99" s="15" t="str">
        <f ca="1">IF(Tb_funcionarios[[#This Row],[Tipo]]="","Preencher dados faltantes",IF(Tb_funcionarios[[#This Row],[Tipo]]="Demissional","Funcionário desligado",IF(L99&gt;30,"Válido",IF(L99&lt;0,"Vencido",IF(L99&lt;=30,"Menos de 30 dias para vencer")))))</f>
        <v>Válido</v>
      </c>
      <c r="N99" s="15" t="s">
        <v>21</v>
      </c>
      <c r="O99" s="18"/>
    </row>
    <row r="100" spans="1:15" x14ac:dyDescent="0.25">
      <c r="A100" s="19" t="s">
        <v>201</v>
      </c>
      <c r="B100" s="20">
        <v>25003</v>
      </c>
      <c r="C100" s="20" t="s">
        <v>42</v>
      </c>
      <c r="D100" s="20" t="s">
        <v>32</v>
      </c>
      <c r="E100" s="20" t="s">
        <v>25</v>
      </c>
      <c r="F100" s="20" t="s">
        <v>18</v>
      </c>
      <c r="G100" s="20" t="s">
        <v>27</v>
      </c>
      <c r="H100" s="20" t="s">
        <v>28</v>
      </c>
      <c r="I100" s="21">
        <v>44874</v>
      </c>
      <c r="J100" s="2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45055</v>
      </c>
      <c r="K100" s="2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45055</v>
      </c>
      <c r="L100" s="20">
        <f ca="1">IFERROR(Tb_funcionarios[[#This Row],[Data do Vencimento]]-TODAY(),"")</f>
        <v>42</v>
      </c>
      <c r="M100" s="20" t="str">
        <f ca="1">IF(Tb_funcionarios[[#This Row],[Tipo]]="","Preencher dados faltantes",IF(Tb_funcionarios[[#This Row],[Tipo]]="Demissional","Funcionário desligado",IF(L100&gt;30,"Válido",IF(L100&lt;0,"Vencido",IF(L100&lt;=30,"Menos de 30 dias para vencer")))))</f>
        <v>Válido</v>
      </c>
      <c r="N100" s="20" t="s">
        <v>21</v>
      </c>
      <c r="O100" s="23" t="s">
        <v>29</v>
      </c>
    </row>
    <row r="101" spans="1:15" x14ac:dyDescent="0.25">
      <c r="A101" s="19" t="s">
        <v>232</v>
      </c>
      <c r="B101" s="20">
        <v>63505</v>
      </c>
      <c r="C101" s="20" t="s">
        <v>42</v>
      </c>
      <c r="D101" s="20" t="s">
        <v>32</v>
      </c>
      <c r="E101" s="20" t="s">
        <v>25</v>
      </c>
      <c r="F101" s="20" t="s">
        <v>18</v>
      </c>
      <c r="G101" s="20" t="s">
        <v>27</v>
      </c>
      <c r="H101" s="20" t="s">
        <v>28</v>
      </c>
      <c r="I101" s="21">
        <v>44874</v>
      </c>
      <c r="J101" s="2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45055</v>
      </c>
      <c r="K101" s="2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45055</v>
      </c>
      <c r="L101" s="20">
        <f ca="1">IFERROR(Tb_funcionarios[[#This Row],[Data do Vencimento]]-TODAY(),"")</f>
        <v>42</v>
      </c>
      <c r="M101" s="20" t="str">
        <f ca="1">IF(Tb_funcionarios[[#This Row],[Tipo]]="","Preencher dados faltantes",IF(Tb_funcionarios[[#This Row],[Tipo]]="Demissional","Funcionário desligado",IF(L101&gt;30,"Válido",IF(L101&lt;0,"Vencido",IF(L101&lt;=30,"Menos de 30 dias para vencer")))))</f>
        <v>Válido</v>
      </c>
      <c r="N101" s="20" t="s">
        <v>21</v>
      </c>
      <c r="O101" s="23"/>
    </row>
    <row r="102" spans="1:15" x14ac:dyDescent="0.25">
      <c r="A102" s="19" t="s">
        <v>235</v>
      </c>
      <c r="B102" s="20">
        <v>56004</v>
      </c>
      <c r="C102" s="15" t="s">
        <v>103</v>
      </c>
      <c r="D102" s="20" t="s">
        <v>43</v>
      </c>
      <c r="E102" s="20" t="s">
        <v>17</v>
      </c>
      <c r="F102" s="43" t="s">
        <v>18</v>
      </c>
      <c r="G102" s="20" t="s">
        <v>27</v>
      </c>
      <c r="H102" s="20" t="s">
        <v>28</v>
      </c>
      <c r="I102" s="21">
        <v>44834</v>
      </c>
      <c r="J102" s="2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45015</v>
      </c>
      <c r="K102" s="2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45015</v>
      </c>
      <c r="L102" s="43">
        <f ca="1">IFERROR(Tb_funcionarios[[#This Row],[Data do Vencimento]]-TODAY(),"")</f>
        <v>2</v>
      </c>
      <c r="M102" s="43" t="str">
        <f ca="1">IF(Tb_funcionarios[[#This Row],[Tipo]]="","Preencher dados faltantes",IF(Tb_funcionarios[[#This Row],[Tipo]]="Demissional","Funcionário desligado",IF(L102&gt;30,"Válido",IF(L102&lt;0,"Vencido",IF(L102&lt;=30,"Menos de 30 dias para vencer")))))</f>
        <v>Menos de 30 dias para vencer</v>
      </c>
      <c r="N102" s="43" t="s">
        <v>21</v>
      </c>
      <c r="O102" s="23"/>
    </row>
    <row r="103" spans="1:15" x14ac:dyDescent="0.25">
      <c r="A103" s="19" t="s">
        <v>236</v>
      </c>
      <c r="B103" s="20">
        <v>75056</v>
      </c>
      <c r="C103" s="15" t="s">
        <v>173</v>
      </c>
      <c r="D103" s="15" t="s">
        <v>71</v>
      </c>
      <c r="E103" s="20" t="s">
        <v>17</v>
      </c>
      <c r="F103" s="43" t="s">
        <v>18</v>
      </c>
      <c r="G103" s="20" t="s">
        <v>19</v>
      </c>
      <c r="H103" s="20" t="s">
        <v>28</v>
      </c>
      <c r="I103" s="21">
        <v>44640</v>
      </c>
      <c r="J103" s="2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45005</v>
      </c>
      <c r="K103" s="2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45005</v>
      </c>
      <c r="L103" s="43">
        <f ca="1">IFERROR(Tb_funcionarios[[#This Row],[Data do Vencimento]]-TODAY(),"")</f>
        <v>-8</v>
      </c>
      <c r="M103" s="43" t="str">
        <f ca="1">IF(Tb_funcionarios[[#This Row],[Tipo]]="","Preencher dados faltantes",IF(Tb_funcionarios[[#This Row],[Tipo]]="Demissional","Funcionário desligado",IF(L103&gt;30,"Válido",IF(L103&lt;0,"Vencido",IF(L103&lt;=30,"Menos de 30 dias para vencer")))))</f>
        <v>Vencido</v>
      </c>
      <c r="N103" s="43" t="s">
        <v>21</v>
      </c>
      <c r="O103" s="23"/>
    </row>
  </sheetData>
  <conditionalFormatting sqref="M1:M103">
    <cfRule type="cellIs" dxfId="12" priority="1" operator="equal">
      <formula>"Funcionário desligado"</formula>
    </cfRule>
    <cfRule type="containsText" dxfId="11" priority="2" operator="containsText" text="Menos de 30 dias para vencer">
      <formula>NOT(ISERROR(SEARCH("Menos de 30 dias para vencer",M1)))</formula>
    </cfRule>
    <cfRule type="containsText" dxfId="10" priority="3" operator="containsText" text="Vencido">
      <formula>NOT(ISERROR(SEARCH("Vencido",M1)))</formula>
    </cfRule>
    <cfRule type="containsText" dxfId="9" priority="4" operator="containsText" text="Válido">
      <formula>NOT(ISERROR(SEARCH("Válido",M1)))</formula>
    </cfRule>
  </conditionalFormatting>
  <conditionalFormatting sqref="A2:A103">
    <cfRule type="duplicateValues" dxfId="8" priority="7"/>
  </conditionalFormatting>
  <conditionalFormatting sqref="B2:B103">
    <cfRule type="duplicateValues" dxfId="7" priority="8"/>
  </conditionalFormatting>
  <dataValidations count="5">
    <dataValidation type="list" allowBlank="1" showInputMessage="1" showErrorMessage="1" sqref="E2:E103" xr:uid="{AF2455AC-FDC5-463B-90DE-BFEC1787672E}">
      <formula1>"Centro, Pinheiros"</formula1>
    </dataValidation>
    <dataValidation type="list" allowBlank="1" showInputMessage="1" showErrorMessage="1" sqref="N2:N103" xr:uid="{1F545B4D-7A6B-49EC-9CA3-3134CC895899}">
      <formula1>"Apto, Não Apto"</formula1>
    </dataValidation>
    <dataValidation type="list" allowBlank="1" showInputMessage="1" showErrorMessage="1" sqref="H2:H103" xr:uid="{5C0CAE52-3399-4F66-8936-9F56E5AE652B}">
      <formula1>"Admissional, Demissional, Mudança de Função, Periódico, Retorno ao Trabalho"</formula1>
    </dataValidation>
    <dataValidation type="list" allowBlank="1" showInputMessage="1" showErrorMessage="1" sqref="G2:G103" xr:uid="{53DB5766-B666-4EBC-BE47-8CFF462A8A7F}">
      <formula1>"Anual, Semestral"</formula1>
    </dataValidation>
    <dataValidation type="list" allowBlank="1" showInputMessage="1" showErrorMessage="1" sqref="F2:F103" xr:uid="{3D5B7987-B554-4A24-B48A-4DC5CB72E78A}">
      <formula1>"Biológico, Ergonômico, Químico, Radiação"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E2C11-4464-4BA7-8D3B-14C2D1E8F64C}">
  <sheetPr codeName="Planilha2"/>
  <dimension ref="B3:V106"/>
  <sheetViews>
    <sheetView showGridLines="0" topLeftCell="L1" workbookViewId="0">
      <selection activeCell="R6" sqref="R6"/>
    </sheetView>
  </sheetViews>
  <sheetFormatPr defaultRowHeight="15" x14ac:dyDescent="0.25"/>
  <cols>
    <col min="1" max="1" width="4.7109375" customWidth="1"/>
    <col min="2" max="2" width="27.42578125" bestFit="1" customWidth="1"/>
    <col min="3" max="3" width="18.85546875" bestFit="1" customWidth="1"/>
    <col min="4" max="4" width="18.85546875" customWidth="1"/>
    <col min="5" max="5" width="4.7109375" customWidth="1"/>
    <col min="6" max="6" width="18" bestFit="1" customWidth="1"/>
    <col min="7" max="7" width="18.85546875" bestFit="1" customWidth="1"/>
    <col min="8" max="8" width="18.85546875" customWidth="1"/>
    <col min="10" max="10" width="25.140625" customWidth="1"/>
    <col min="11" max="11" width="37.5703125" bestFit="1" customWidth="1"/>
    <col min="12" max="13" width="27.42578125" bestFit="1" customWidth="1"/>
    <col min="14" max="14" width="21.5703125" bestFit="1" customWidth="1"/>
    <col min="15" max="16" width="27.42578125" customWidth="1"/>
    <col min="18" max="18" width="27.42578125" bestFit="1" customWidth="1"/>
    <col min="19" max="19" width="27.5703125" bestFit="1" customWidth="1"/>
    <col min="20" max="20" width="13.5703125" customWidth="1"/>
    <col min="22" max="23" width="10.7109375" bestFit="1" customWidth="1"/>
  </cols>
  <sheetData>
    <row r="3" spans="2:22" x14ac:dyDescent="0.25">
      <c r="B3" s="3" t="s">
        <v>209</v>
      </c>
      <c r="C3" s="3"/>
      <c r="D3" s="3"/>
      <c r="F3" s="3" t="s">
        <v>210</v>
      </c>
      <c r="G3" s="3"/>
      <c r="H3" s="3"/>
      <c r="J3" s="4" t="s">
        <v>212</v>
      </c>
      <c r="K3" s="4"/>
      <c r="L3" s="4"/>
      <c r="M3" s="4"/>
      <c r="N3" s="4"/>
      <c r="O3" s="4"/>
      <c r="P3" s="4"/>
      <c r="R3" s="3" t="s">
        <v>213</v>
      </c>
      <c r="S3" s="3"/>
    </row>
    <row r="4" spans="2:22" x14ac:dyDescent="0.25">
      <c r="B4" s="1" t="s">
        <v>202</v>
      </c>
      <c r="C4" t="s">
        <v>208</v>
      </c>
      <c r="D4" t="s">
        <v>233</v>
      </c>
      <c r="F4" s="1" t="s">
        <v>229</v>
      </c>
      <c r="G4" s="1" t="s">
        <v>230</v>
      </c>
      <c r="H4" t="s">
        <v>208</v>
      </c>
      <c r="J4" s="1" t="s">
        <v>0</v>
      </c>
      <c r="K4" s="1" t="s">
        <v>3</v>
      </c>
      <c r="L4" s="1" t="s">
        <v>5</v>
      </c>
      <c r="M4" s="1" t="s">
        <v>11</v>
      </c>
      <c r="R4" s="1" t="s">
        <v>208</v>
      </c>
      <c r="S4" s="1" t="s">
        <v>214</v>
      </c>
    </row>
    <row r="5" spans="2:22" x14ac:dyDescent="0.25">
      <c r="B5" s="2" t="s">
        <v>203</v>
      </c>
      <c r="C5" s="36">
        <v>2</v>
      </c>
      <c r="D5" s="39">
        <v>1.9607843137254902E-2</v>
      </c>
      <c r="F5" t="s">
        <v>215</v>
      </c>
      <c r="G5" s="5" t="s">
        <v>216</v>
      </c>
      <c r="H5" s="36">
        <v>4</v>
      </c>
      <c r="J5" t="s">
        <v>44</v>
      </c>
      <c r="K5" t="s">
        <v>43</v>
      </c>
      <c r="L5" t="s">
        <v>18</v>
      </c>
      <c r="M5" t="s">
        <v>204</v>
      </c>
      <c r="R5" s="1" t="s">
        <v>202</v>
      </c>
      <c r="S5" t="s">
        <v>204</v>
      </c>
      <c r="T5" t="s">
        <v>205</v>
      </c>
      <c r="U5" t="s">
        <v>206</v>
      </c>
      <c r="V5" t="s">
        <v>207</v>
      </c>
    </row>
    <row r="6" spans="2:22" x14ac:dyDescent="0.25">
      <c r="B6" s="2" t="s">
        <v>204</v>
      </c>
      <c r="C6" s="36">
        <v>9</v>
      </c>
      <c r="D6" s="39">
        <v>8.8235294117647065E-2</v>
      </c>
      <c r="F6" t="s">
        <v>215</v>
      </c>
      <c r="G6" s="5" t="s">
        <v>217</v>
      </c>
      <c r="H6" s="36">
        <v>1</v>
      </c>
      <c r="J6" t="s">
        <v>184</v>
      </c>
      <c r="K6" t="s">
        <v>186</v>
      </c>
      <c r="L6" t="s">
        <v>18</v>
      </c>
      <c r="M6" t="s">
        <v>205</v>
      </c>
      <c r="R6" s="2" t="s">
        <v>17</v>
      </c>
      <c r="S6" s="39">
        <v>0.03</v>
      </c>
      <c r="T6" s="39">
        <v>0.23</v>
      </c>
      <c r="U6" s="39">
        <v>0.15</v>
      </c>
      <c r="V6" s="39">
        <v>0.41</v>
      </c>
    </row>
    <row r="7" spans="2:22" x14ac:dyDescent="0.25">
      <c r="B7" s="2" t="s">
        <v>205</v>
      </c>
      <c r="C7" s="36">
        <v>62</v>
      </c>
      <c r="D7" s="39">
        <v>0.60784313725490191</v>
      </c>
      <c r="F7" t="s">
        <v>215</v>
      </c>
      <c r="G7" s="5" t="s">
        <v>218</v>
      </c>
      <c r="H7" s="36">
        <v>2</v>
      </c>
      <c r="J7" t="s">
        <v>174</v>
      </c>
      <c r="K7" t="s">
        <v>98</v>
      </c>
      <c r="L7" t="s">
        <v>18</v>
      </c>
      <c r="M7" t="s">
        <v>205</v>
      </c>
      <c r="R7" s="2" t="s">
        <v>25</v>
      </c>
      <c r="S7" s="39">
        <v>0.06</v>
      </c>
      <c r="T7" s="39">
        <v>0.39</v>
      </c>
      <c r="U7" s="39">
        <v>0.14000000000000001</v>
      </c>
      <c r="V7" s="39">
        <v>0.59</v>
      </c>
    </row>
    <row r="8" spans="2:22" x14ac:dyDescent="0.25">
      <c r="B8" s="2" t="s">
        <v>206</v>
      </c>
      <c r="C8" s="36">
        <v>29</v>
      </c>
      <c r="D8" s="39">
        <v>0.28431372549019607</v>
      </c>
      <c r="F8" t="s">
        <v>219</v>
      </c>
      <c r="G8" s="5" t="s">
        <v>220</v>
      </c>
      <c r="H8" s="36">
        <v>5</v>
      </c>
      <c r="J8" t="s">
        <v>171</v>
      </c>
      <c r="K8" t="s">
        <v>60</v>
      </c>
      <c r="L8" t="s">
        <v>18</v>
      </c>
      <c r="M8" t="s">
        <v>205</v>
      </c>
      <c r="R8" s="2" t="s">
        <v>207</v>
      </c>
      <c r="S8" s="39">
        <v>0.09</v>
      </c>
      <c r="T8" s="39">
        <v>0.62</v>
      </c>
      <c r="U8" s="39">
        <v>0.28999999999999998</v>
      </c>
      <c r="V8" s="39">
        <v>1</v>
      </c>
    </row>
    <row r="9" spans="2:22" x14ac:dyDescent="0.25">
      <c r="B9" s="2" t="s">
        <v>207</v>
      </c>
      <c r="C9" s="36">
        <v>102</v>
      </c>
      <c r="D9" s="39">
        <v>1</v>
      </c>
      <c r="F9" t="s">
        <v>219</v>
      </c>
      <c r="G9" s="5" t="s">
        <v>221</v>
      </c>
      <c r="H9" s="36">
        <v>10</v>
      </c>
      <c r="J9" t="s">
        <v>99</v>
      </c>
      <c r="K9" t="s">
        <v>101</v>
      </c>
      <c r="L9" t="s">
        <v>18</v>
      </c>
      <c r="M9" t="s">
        <v>205</v>
      </c>
    </row>
    <row r="10" spans="2:22" x14ac:dyDescent="0.25">
      <c r="F10" t="s">
        <v>219</v>
      </c>
      <c r="G10" s="5" t="s">
        <v>222</v>
      </c>
      <c r="H10" s="36">
        <v>12</v>
      </c>
      <c r="J10" t="s">
        <v>181</v>
      </c>
      <c r="K10" t="s">
        <v>79</v>
      </c>
      <c r="L10" t="s">
        <v>26</v>
      </c>
      <c r="M10" t="s">
        <v>206</v>
      </c>
    </row>
    <row r="11" spans="2:22" x14ac:dyDescent="0.25">
      <c r="B11" s="2" t="s">
        <v>234</v>
      </c>
      <c r="C11">
        <f>SUM(C6:C8)</f>
        <v>100</v>
      </c>
      <c r="F11" t="s">
        <v>219</v>
      </c>
      <c r="G11" s="5" t="s">
        <v>223</v>
      </c>
      <c r="H11" s="36">
        <v>6</v>
      </c>
      <c r="J11" t="s">
        <v>120</v>
      </c>
      <c r="K11" t="s">
        <v>79</v>
      </c>
      <c r="L11" t="s">
        <v>18</v>
      </c>
      <c r="M11" t="s">
        <v>205</v>
      </c>
    </row>
    <row r="12" spans="2:22" x14ac:dyDescent="0.25">
      <c r="F12" t="s">
        <v>219</v>
      </c>
      <c r="G12" s="5" t="s">
        <v>224</v>
      </c>
      <c r="H12" s="36">
        <v>12</v>
      </c>
      <c r="J12" t="s">
        <v>195</v>
      </c>
      <c r="K12" t="s">
        <v>43</v>
      </c>
      <c r="L12" t="s">
        <v>18</v>
      </c>
      <c r="M12" t="s">
        <v>205</v>
      </c>
    </row>
    <row r="13" spans="2:22" x14ac:dyDescent="0.25">
      <c r="F13" t="s">
        <v>219</v>
      </c>
      <c r="G13" s="5" t="s">
        <v>225</v>
      </c>
      <c r="H13" s="36">
        <v>7</v>
      </c>
      <c r="J13" t="s">
        <v>190</v>
      </c>
      <c r="K13" t="s">
        <v>24</v>
      </c>
      <c r="L13" t="s">
        <v>26</v>
      </c>
      <c r="M13" t="s">
        <v>204</v>
      </c>
    </row>
    <row r="14" spans="2:22" x14ac:dyDescent="0.25">
      <c r="F14" t="s">
        <v>219</v>
      </c>
      <c r="G14" s="5" t="s">
        <v>226</v>
      </c>
      <c r="H14" s="36">
        <v>8</v>
      </c>
      <c r="J14" t="s">
        <v>56</v>
      </c>
      <c r="K14" t="s">
        <v>16</v>
      </c>
      <c r="L14" t="s">
        <v>57</v>
      </c>
      <c r="M14" t="s">
        <v>203</v>
      </c>
    </row>
    <row r="15" spans="2:22" x14ac:dyDescent="0.25">
      <c r="F15" t="s">
        <v>219</v>
      </c>
      <c r="G15" s="5" t="s">
        <v>216</v>
      </c>
      <c r="H15" s="36">
        <v>4</v>
      </c>
      <c r="J15" t="s">
        <v>198</v>
      </c>
      <c r="K15" t="s">
        <v>109</v>
      </c>
      <c r="L15" t="s">
        <v>18</v>
      </c>
      <c r="M15" t="s">
        <v>205</v>
      </c>
    </row>
    <row r="16" spans="2:22" x14ac:dyDescent="0.25">
      <c r="F16" t="s">
        <v>219</v>
      </c>
      <c r="G16" s="5" t="s">
        <v>227</v>
      </c>
      <c r="H16" s="36">
        <v>5</v>
      </c>
      <c r="J16" t="s">
        <v>92</v>
      </c>
      <c r="K16" t="s">
        <v>55</v>
      </c>
      <c r="L16" t="s">
        <v>18</v>
      </c>
      <c r="M16" t="s">
        <v>206</v>
      </c>
    </row>
    <row r="17" spans="6:13" x14ac:dyDescent="0.25">
      <c r="F17" t="s">
        <v>219</v>
      </c>
      <c r="G17" s="5" t="s">
        <v>228</v>
      </c>
      <c r="H17" s="36">
        <v>19</v>
      </c>
      <c r="J17" t="s">
        <v>114</v>
      </c>
      <c r="K17" t="s">
        <v>43</v>
      </c>
      <c r="L17" t="s">
        <v>18</v>
      </c>
      <c r="M17" t="s">
        <v>204</v>
      </c>
    </row>
    <row r="18" spans="6:13" x14ac:dyDescent="0.25">
      <c r="F18" t="s">
        <v>219</v>
      </c>
      <c r="G18" s="5" t="s">
        <v>217</v>
      </c>
      <c r="H18" s="36">
        <v>4</v>
      </c>
      <c r="J18" t="s">
        <v>160</v>
      </c>
      <c r="K18" t="s">
        <v>95</v>
      </c>
      <c r="L18" t="s">
        <v>37</v>
      </c>
      <c r="M18" t="s">
        <v>205</v>
      </c>
    </row>
    <row r="19" spans="6:13" x14ac:dyDescent="0.25">
      <c r="F19" t="s">
        <v>219</v>
      </c>
      <c r="G19" s="5" t="s">
        <v>218</v>
      </c>
      <c r="H19" s="36">
        <v>3</v>
      </c>
      <c r="J19" t="s">
        <v>14</v>
      </c>
      <c r="K19" t="s">
        <v>16</v>
      </c>
      <c r="L19" t="s">
        <v>18</v>
      </c>
      <c r="M19" t="s">
        <v>203</v>
      </c>
    </row>
    <row r="20" spans="6:13" x14ac:dyDescent="0.25">
      <c r="F20" t="s">
        <v>207</v>
      </c>
      <c r="H20" s="36">
        <v>102</v>
      </c>
      <c r="J20" t="s">
        <v>102</v>
      </c>
      <c r="K20" t="s">
        <v>43</v>
      </c>
      <c r="L20" t="s">
        <v>57</v>
      </c>
      <c r="M20" t="s">
        <v>206</v>
      </c>
    </row>
    <row r="21" spans="6:13" x14ac:dyDescent="0.25">
      <c r="J21" t="s">
        <v>124</v>
      </c>
      <c r="K21" t="s">
        <v>43</v>
      </c>
      <c r="L21" t="s">
        <v>18</v>
      </c>
      <c r="M21" t="s">
        <v>206</v>
      </c>
    </row>
    <row r="22" spans="6:13" x14ac:dyDescent="0.25">
      <c r="J22" t="s">
        <v>93</v>
      </c>
      <c r="K22" t="s">
        <v>95</v>
      </c>
      <c r="L22" t="s">
        <v>37</v>
      </c>
      <c r="M22" t="s">
        <v>205</v>
      </c>
    </row>
    <row r="23" spans="6:13" x14ac:dyDescent="0.25">
      <c r="J23" t="s">
        <v>22</v>
      </c>
      <c r="K23" t="s">
        <v>24</v>
      </c>
      <c r="L23" t="s">
        <v>26</v>
      </c>
      <c r="M23" t="s">
        <v>206</v>
      </c>
    </row>
    <row r="24" spans="6:13" x14ac:dyDescent="0.25">
      <c r="J24" t="s">
        <v>87</v>
      </c>
      <c r="K24" t="s">
        <v>43</v>
      </c>
      <c r="L24" t="s">
        <v>18</v>
      </c>
      <c r="M24" t="s">
        <v>205</v>
      </c>
    </row>
    <row r="25" spans="6:13" x14ac:dyDescent="0.25">
      <c r="J25" t="s">
        <v>119</v>
      </c>
      <c r="K25" t="s">
        <v>111</v>
      </c>
      <c r="L25" t="s">
        <v>18</v>
      </c>
      <c r="M25" t="s">
        <v>205</v>
      </c>
    </row>
    <row r="26" spans="6:13" x14ac:dyDescent="0.25">
      <c r="J26" t="s">
        <v>182</v>
      </c>
      <c r="K26" t="s">
        <v>55</v>
      </c>
      <c r="L26" t="s">
        <v>18</v>
      </c>
      <c r="M26" t="s">
        <v>206</v>
      </c>
    </row>
    <row r="27" spans="6:13" x14ac:dyDescent="0.25">
      <c r="J27" t="s">
        <v>126</v>
      </c>
      <c r="K27" t="s">
        <v>79</v>
      </c>
      <c r="L27" t="s">
        <v>18</v>
      </c>
      <c r="M27" t="s">
        <v>205</v>
      </c>
    </row>
    <row r="28" spans="6:13" x14ac:dyDescent="0.25">
      <c r="J28" t="s">
        <v>91</v>
      </c>
      <c r="K28" t="s">
        <v>32</v>
      </c>
      <c r="L28" t="s">
        <v>18</v>
      </c>
      <c r="M28" t="s">
        <v>205</v>
      </c>
    </row>
    <row r="29" spans="6:13" x14ac:dyDescent="0.25">
      <c r="J29" t="s">
        <v>107</v>
      </c>
      <c r="K29" t="s">
        <v>109</v>
      </c>
      <c r="L29" t="s">
        <v>18</v>
      </c>
      <c r="M29" t="s">
        <v>205</v>
      </c>
    </row>
    <row r="30" spans="6:13" x14ac:dyDescent="0.25">
      <c r="J30" t="s">
        <v>131</v>
      </c>
      <c r="K30" t="s">
        <v>133</v>
      </c>
      <c r="L30" t="s">
        <v>18</v>
      </c>
      <c r="M30" t="s">
        <v>206</v>
      </c>
    </row>
    <row r="31" spans="6:13" x14ac:dyDescent="0.25">
      <c r="J31" t="s">
        <v>172</v>
      </c>
      <c r="K31" t="s">
        <v>71</v>
      </c>
      <c r="L31" t="s">
        <v>18</v>
      </c>
      <c r="M31" t="s">
        <v>205</v>
      </c>
    </row>
    <row r="32" spans="6:13" x14ac:dyDescent="0.25">
      <c r="J32" t="s">
        <v>178</v>
      </c>
      <c r="K32" t="s">
        <v>179</v>
      </c>
      <c r="L32" t="s">
        <v>18</v>
      </c>
      <c r="M32" t="s">
        <v>204</v>
      </c>
    </row>
    <row r="33" spans="10:13" x14ac:dyDescent="0.25">
      <c r="J33" t="s">
        <v>127</v>
      </c>
      <c r="K33" t="s">
        <v>43</v>
      </c>
      <c r="L33" t="s">
        <v>18</v>
      </c>
      <c r="M33" t="s">
        <v>205</v>
      </c>
    </row>
    <row r="34" spans="10:13" x14ac:dyDescent="0.25">
      <c r="J34" t="s">
        <v>189</v>
      </c>
      <c r="K34" t="s">
        <v>73</v>
      </c>
      <c r="L34" t="s">
        <v>18</v>
      </c>
      <c r="M34" t="s">
        <v>205</v>
      </c>
    </row>
    <row r="35" spans="10:13" x14ac:dyDescent="0.25">
      <c r="J35" t="s">
        <v>72</v>
      </c>
      <c r="K35" t="s">
        <v>73</v>
      </c>
      <c r="L35" t="s">
        <v>18</v>
      </c>
      <c r="M35" t="s">
        <v>205</v>
      </c>
    </row>
    <row r="36" spans="10:13" x14ac:dyDescent="0.25">
      <c r="J36" t="s">
        <v>65</v>
      </c>
      <c r="K36" t="s">
        <v>67</v>
      </c>
      <c r="L36" t="s">
        <v>37</v>
      </c>
      <c r="M36" t="s">
        <v>205</v>
      </c>
    </row>
    <row r="37" spans="10:13" x14ac:dyDescent="0.25">
      <c r="J37" t="s">
        <v>46</v>
      </c>
      <c r="K37" t="s">
        <v>16</v>
      </c>
      <c r="L37" t="s">
        <v>18</v>
      </c>
      <c r="M37" t="s">
        <v>206</v>
      </c>
    </row>
    <row r="38" spans="10:13" x14ac:dyDescent="0.25">
      <c r="J38" t="s">
        <v>49</v>
      </c>
      <c r="K38" t="s">
        <v>51</v>
      </c>
      <c r="L38" t="s">
        <v>18</v>
      </c>
      <c r="M38" t="s">
        <v>205</v>
      </c>
    </row>
    <row r="39" spans="10:13" x14ac:dyDescent="0.25">
      <c r="J39" t="s">
        <v>77</v>
      </c>
      <c r="K39" t="s">
        <v>79</v>
      </c>
      <c r="L39" t="s">
        <v>18</v>
      </c>
      <c r="M39" t="s">
        <v>205</v>
      </c>
    </row>
    <row r="40" spans="10:13" x14ac:dyDescent="0.25">
      <c r="J40" t="s">
        <v>176</v>
      </c>
      <c r="K40" t="s">
        <v>165</v>
      </c>
      <c r="L40" t="s">
        <v>18</v>
      </c>
      <c r="M40" t="s">
        <v>205</v>
      </c>
    </row>
    <row r="41" spans="10:13" x14ac:dyDescent="0.25">
      <c r="J41" t="s">
        <v>64</v>
      </c>
      <c r="K41" t="s">
        <v>60</v>
      </c>
      <c r="L41" t="s">
        <v>18</v>
      </c>
      <c r="M41" t="s">
        <v>205</v>
      </c>
    </row>
    <row r="42" spans="10:13" x14ac:dyDescent="0.25">
      <c r="J42" t="s">
        <v>54</v>
      </c>
      <c r="K42" t="s">
        <v>55</v>
      </c>
      <c r="L42" t="s">
        <v>18</v>
      </c>
      <c r="M42" t="s">
        <v>205</v>
      </c>
    </row>
    <row r="43" spans="10:13" x14ac:dyDescent="0.25">
      <c r="J43" t="s">
        <v>80</v>
      </c>
      <c r="K43" t="s">
        <v>43</v>
      </c>
      <c r="L43" t="s">
        <v>18</v>
      </c>
      <c r="M43" t="s">
        <v>205</v>
      </c>
    </row>
    <row r="44" spans="10:13" x14ac:dyDescent="0.25">
      <c r="J44" t="s">
        <v>151</v>
      </c>
      <c r="K44" t="s">
        <v>43</v>
      </c>
      <c r="L44" t="s">
        <v>18</v>
      </c>
      <c r="M44" t="s">
        <v>205</v>
      </c>
    </row>
    <row r="45" spans="10:13" x14ac:dyDescent="0.25">
      <c r="J45" t="s">
        <v>140</v>
      </c>
      <c r="K45" t="s">
        <v>142</v>
      </c>
      <c r="L45" t="s">
        <v>18</v>
      </c>
      <c r="M45" t="s">
        <v>205</v>
      </c>
    </row>
    <row r="46" spans="10:13" x14ac:dyDescent="0.25">
      <c r="J46" t="s">
        <v>128</v>
      </c>
      <c r="K46" t="s">
        <v>109</v>
      </c>
      <c r="L46" t="s">
        <v>18</v>
      </c>
      <c r="M46" t="s">
        <v>206</v>
      </c>
    </row>
    <row r="47" spans="10:13" x14ac:dyDescent="0.25">
      <c r="J47" t="s">
        <v>152</v>
      </c>
      <c r="K47" t="s">
        <v>32</v>
      </c>
      <c r="L47" t="s">
        <v>18</v>
      </c>
      <c r="M47" t="s">
        <v>206</v>
      </c>
    </row>
    <row r="48" spans="10:13" x14ac:dyDescent="0.25">
      <c r="J48" t="s">
        <v>76</v>
      </c>
      <c r="K48" t="s">
        <v>16</v>
      </c>
      <c r="L48" t="s">
        <v>57</v>
      </c>
      <c r="M48" t="s">
        <v>206</v>
      </c>
    </row>
    <row r="49" spans="10:13" x14ac:dyDescent="0.25">
      <c r="J49" t="s">
        <v>163</v>
      </c>
      <c r="K49" t="s">
        <v>211</v>
      </c>
      <c r="L49" t="s">
        <v>18</v>
      </c>
      <c r="M49" t="s">
        <v>205</v>
      </c>
    </row>
    <row r="50" spans="10:13" x14ac:dyDescent="0.25">
      <c r="J50" t="s">
        <v>68</v>
      </c>
      <c r="K50" t="s">
        <v>67</v>
      </c>
      <c r="L50" t="s">
        <v>37</v>
      </c>
      <c r="M50" t="s">
        <v>205</v>
      </c>
    </row>
    <row r="51" spans="10:13" x14ac:dyDescent="0.25">
      <c r="J51" t="s">
        <v>117</v>
      </c>
      <c r="K51" t="s">
        <v>55</v>
      </c>
      <c r="L51" t="s">
        <v>18</v>
      </c>
      <c r="M51" t="s">
        <v>204</v>
      </c>
    </row>
    <row r="52" spans="10:13" x14ac:dyDescent="0.25">
      <c r="J52" t="s">
        <v>201</v>
      </c>
      <c r="K52" t="s">
        <v>32</v>
      </c>
      <c r="L52" t="s">
        <v>18</v>
      </c>
      <c r="M52" t="s">
        <v>205</v>
      </c>
    </row>
    <row r="53" spans="10:13" x14ac:dyDescent="0.25">
      <c r="J53" t="s">
        <v>115</v>
      </c>
      <c r="K53" t="s">
        <v>60</v>
      </c>
      <c r="L53" t="s">
        <v>18</v>
      </c>
      <c r="M53" t="s">
        <v>205</v>
      </c>
    </row>
    <row r="54" spans="10:13" x14ac:dyDescent="0.25">
      <c r="J54" t="s">
        <v>89</v>
      </c>
      <c r="K54" t="s">
        <v>71</v>
      </c>
      <c r="L54" t="s">
        <v>18</v>
      </c>
      <c r="M54" t="s">
        <v>206</v>
      </c>
    </row>
    <row r="55" spans="10:13" x14ac:dyDescent="0.25">
      <c r="J55" t="s">
        <v>166</v>
      </c>
      <c r="K55" t="s">
        <v>168</v>
      </c>
      <c r="L55" t="s">
        <v>18</v>
      </c>
      <c r="M55" t="s">
        <v>205</v>
      </c>
    </row>
    <row r="56" spans="10:13" x14ac:dyDescent="0.25">
      <c r="J56" t="s">
        <v>157</v>
      </c>
      <c r="K56" t="s">
        <v>111</v>
      </c>
      <c r="L56" t="s">
        <v>18</v>
      </c>
      <c r="M56" t="s">
        <v>205</v>
      </c>
    </row>
    <row r="57" spans="10:13" x14ac:dyDescent="0.25">
      <c r="J57" t="s">
        <v>158</v>
      </c>
      <c r="K57" t="s">
        <v>111</v>
      </c>
      <c r="L57" t="s">
        <v>18</v>
      </c>
      <c r="M57" t="s">
        <v>205</v>
      </c>
    </row>
    <row r="58" spans="10:13" x14ac:dyDescent="0.25">
      <c r="J58" t="s">
        <v>180</v>
      </c>
      <c r="K58" t="s">
        <v>170</v>
      </c>
      <c r="L58" t="s">
        <v>37</v>
      </c>
      <c r="M58" t="s">
        <v>205</v>
      </c>
    </row>
    <row r="59" spans="10:13" x14ac:dyDescent="0.25">
      <c r="J59" t="s">
        <v>58</v>
      </c>
      <c r="K59" t="s">
        <v>60</v>
      </c>
      <c r="L59" t="s">
        <v>18</v>
      </c>
      <c r="M59" t="s">
        <v>205</v>
      </c>
    </row>
    <row r="60" spans="10:13" x14ac:dyDescent="0.25">
      <c r="J60" t="s">
        <v>146</v>
      </c>
      <c r="K60" t="s">
        <v>148</v>
      </c>
      <c r="L60" t="s">
        <v>18</v>
      </c>
      <c r="M60" t="s">
        <v>205</v>
      </c>
    </row>
    <row r="61" spans="10:13" x14ac:dyDescent="0.25">
      <c r="J61" t="s">
        <v>38</v>
      </c>
      <c r="K61" t="s">
        <v>40</v>
      </c>
      <c r="L61" t="s">
        <v>18</v>
      </c>
      <c r="M61" t="s">
        <v>206</v>
      </c>
    </row>
    <row r="62" spans="10:13" x14ac:dyDescent="0.25">
      <c r="J62" t="s">
        <v>162</v>
      </c>
      <c r="K62" t="s">
        <v>43</v>
      </c>
      <c r="L62" t="s">
        <v>57</v>
      </c>
      <c r="M62" t="s">
        <v>206</v>
      </c>
    </row>
    <row r="63" spans="10:13" x14ac:dyDescent="0.25">
      <c r="J63" t="s">
        <v>121</v>
      </c>
      <c r="K63" t="s">
        <v>123</v>
      </c>
      <c r="L63" t="s">
        <v>57</v>
      </c>
      <c r="M63" t="s">
        <v>206</v>
      </c>
    </row>
    <row r="64" spans="10:13" x14ac:dyDescent="0.25">
      <c r="J64" t="s">
        <v>112</v>
      </c>
      <c r="K64" t="s">
        <v>73</v>
      </c>
      <c r="L64" t="s">
        <v>18</v>
      </c>
      <c r="M64" t="s">
        <v>205</v>
      </c>
    </row>
    <row r="65" spans="10:13" x14ac:dyDescent="0.25">
      <c r="J65" t="s">
        <v>75</v>
      </c>
      <c r="K65" t="s">
        <v>16</v>
      </c>
      <c r="L65" t="s">
        <v>18</v>
      </c>
      <c r="M65" t="s">
        <v>206</v>
      </c>
    </row>
    <row r="66" spans="10:13" x14ac:dyDescent="0.25">
      <c r="J66" t="s">
        <v>196</v>
      </c>
      <c r="K66" t="s">
        <v>43</v>
      </c>
      <c r="L66" t="s">
        <v>57</v>
      </c>
      <c r="M66" t="s">
        <v>204</v>
      </c>
    </row>
    <row r="67" spans="10:13" x14ac:dyDescent="0.25">
      <c r="J67" t="s">
        <v>116</v>
      </c>
      <c r="K67" t="s">
        <v>109</v>
      </c>
      <c r="L67" t="s">
        <v>18</v>
      </c>
      <c r="M67" t="s">
        <v>204</v>
      </c>
    </row>
    <row r="68" spans="10:13" x14ac:dyDescent="0.25">
      <c r="J68" t="s">
        <v>188</v>
      </c>
      <c r="K68" t="s">
        <v>111</v>
      </c>
      <c r="L68" t="s">
        <v>18</v>
      </c>
      <c r="M68" t="s">
        <v>205</v>
      </c>
    </row>
    <row r="69" spans="10:13" x14ac:dyDescent="0.25">
      <c r="J69" t="s">
        <v>52</v>
      </c>
      <c r="K69" t="s">
        <v>53</v>
      </c>
      <c r="L69" t="s">
        <v>18</v>
      </c>
      <c r="M69" t="s">
        <v>206</v>
      </c>
    </row>
    <row r="70" spans="10:13" x14ac:dyDescent="0.25">
      <c r="J70" t="s">
        <v>34</v>
      </c>
      <c r="K70" t="s">
        <v>36</v>
      </c>
      <c r="L70" t="s">
        <v>37</v>
      </c>
      <c r="M70" t="s">
        <v>205</v>
      </c>
    </row>
    <row r="71" spans="10:13" x14ac:dyDescent="0.25">
      <c r="J71" t="s">
        <v>137</v>
      </c>
      <c r="K71" t="s">
        <v>139</v>
      </c>
      <c r="L71" t="s">
        <v>18</v>
      </c>
      <c r="M71" t="s">
        <v>205</v>
      </c>
    </row>
    <row r="72" spans="10:13" x14ac:dyDescent="0.25">
      <c r="J72" t="s">
        <v>96</v>
      </c>
      <c r="K72" t="s">
        <v>98</v>
      </c>
      <c r="L72" t="s">
        <v>18</v>
      </c>
      <c r="M72" t="s">
        <v>205</v>
      </c>
    </row>
    <row r="73" spans="10:13" x14ac:dyDescent="0.25">
      <c r="J73" t="s">
        <v>118</v>
      </c>
      <c r="K73" t="s">
        <v>73</v>
      </c>
      <c r="L73" t="s">
        <v>18</v>
      </c>
      <c r="M73" t="s">
        <v>205</v>
      </c>
    </row>
    <row r="74" spans="10:13" x14ac:dyDescent="0.25">
      <c r="J74" t="s">
        <v>48</v>
      </c>
      <c r="K74" t="s">
        <v>43</v>
      </c>
      <c r="L74" t="s">
        <v>18</v>
      </c>
      <c r="M74" t="s">
        <v>205</v>
      </c>
    </row>
    <row r="75" spans="10:13" x14ac:dyDescent="0.25">
      <c r="J75" t="s">
        <v>194</v>
      </c>
      <c r="K75" t="s">
        <v>16</v>
      </c>
      <c r="L75" t="s">
        <v>18</v>
      </c>
      <c r="M75" t="s">
        <v>205</v>
      </c>
    </row>
    <row r="76" spans="10:13" x14ac:dyDescent="0.25">
      <c r="J76" t="s">
        <v>177</v>
      </c>
      <c r="K76" t="s">
        <v>73</v>
      </c>
      <c r="L76" t="s">
        <v>18</v>
      </c>
      <c r="M76" t="s">
        <v>205</v>
      </c>
    </row>
    <row r="77" spans="10:13" x14ac:dyDescent="0.25">
      <c r="J77" t="s">
        <v>193</v>
      </c>
      <c r="K77" t="s">
        <v>32</v>
      </c>
      <c r="L77" t="s">
        <v>18</v>
      </c>
      <c r="M77" t="s">
        <v>206</v>
      </c>
    </row>
    <row r="78" spans="10:13" x14ac:dyDescent="0.25">
      <c r="J78" t="s">
        <v>30</v>
      </c>
      <c r="K78" t="s">
        <v>32</v>
      </c>
      <c r="L78" t="s">
        <v>18</v>
      </c>
      <c r="M78" t="s">
        <v>205</v>
      </c>
    </row>
    <row r="79" spans="10:13" x14ac:dyDescent="0.25">
      <c r="J79" t="s">
        <v>187</v>
      </c>
      <c r="K79" t="s">
        <v>83</v>
      </c>
      <c r="L79" t="s">
        <v>26</v>
      </c>
      <c r="M79" t="s">
        <v>204</v>
      </c>
    </row>
    <row r="80" spans="10:13" x14ac:dyDescent="0.25">
      <c r="J80" t="s">
        <v>149</v>
      </c>
      <c r="K80" t="s">
        <v>43</v>
      </c>
      <c r="L80" t="s">
        <v>18</v>
      </c>
      <c r="M80" t="s">
        <v>206</v>
      </c>
    </row>
    <row r="81" spans="10:13" x14ac:dyDescent="0.25">
      <c r="J81" t="s">
        <v>62</v>
      </c>
      <c r="K81" t="s">
        <v>211</v>
      </c>
      <c r="L81" t="s">
        <v>18</v>
      </c>
      <c r="M81" t="s">
        <v>206</v>
      </c>
    </row>
    <row r="82" spans="10:13" x14ac:dyDescent="0.25">
      <c r="J82" t="s">
        <v>164</v>
      </c>
      <c r="K82" t="s">
        <v>165</v>
      </c>
      <c r="L82" t="s">
        <v>18</v>
      </c>
      <c r="M82" t="s">
        <v>206</v>
      </c>
    </row>
    <row r="83" spans="10:13" x14ac:dyDescent="0.25">
      <c r="J83" t="s">
        <v>200</v>
      </c>
      <c r="K83" t="s">
        <v>60</v>
      </c>
      <c r="L83" t="s">
        <v>26</v>
      </c>
      <c r="M83" t="s">
        <v>205</v>
      </c>
    </row>
    <row r="84" spans="10:13" x14ac:dyDescent="0.25">
      <c r="J84" t="s">
        <v>155</v>
      </c>
      <c r="K84" t="s">
        <v>156</v>
      </c>
      <c r="L84" t="s">
        <v>18</v>
      </c>
      <c r="M84" t="s">
        <v>205</v>
      </c>
    </row>
    <row r="85" spans="10:13" x14ac:dyDescent="0.25">
      <c r="J85" t="s">
        <v>125</v>
      </c>
      <c r="K85" t="s">
        <v>71</v>
      </c>
      <c r="L85" t="s">
        <v>18</v>
      </c>
      <c r="M85" t="s">
        <v>205</v>
      </c>
    </row>
    <row r="86" spans="10:13" x14ac:dyDescent="0.25">
      <c r="J86" t="s">
        <v>150</v>
      </c>
      <c r="K86" t="s">
        <v>43</v>
      </c>
      <c r="L86" t="s">
        <v>18</v>
      </c>
      <c r="M86" t="s">
        <v>205</v>
      </c>
    </row>
    <row r="87" spans="10:13" x14ac:dyDescent="0.25">
      <c r="J87" t="s">
        <v>159</v>
      </c>
      <c r="K87" t="s">
        <v>43</v>
      </c>
      <c r="L87" t="s">
        <v>18</v>
      </c>
      <c r="M87" t="s">
        <v>205</v>
      </c>
    </row>
    <row r="88" spans="10:13" x14ac:dyDescent="0.25">
      <c r="J88" t="s">
        <v>104</v>
      </c>
      <c r="K88" t="s">
        <v>211</v>
      </c>
      <c r="L88" t="s">
        <v>18</v>
      </c>
      <c r="M88" t="s">
        <v>205</v>
      </c>
    </row>
    <row r="89" spans="10:13" x14ac:dyDescent="0.25">
      <c r="J89" t="s">
        <v>169</v>
      </c>
      <c r="K89" t="s">
        <v>170</v>
      </c>
      <c r="L89" t="s">
        <v>26</v>
      </c>
      <c r="M89" t="s">
        <v>206</v>
      </c>
    </row>
    <row r="90" spans="10:13" x14ac:dyDescent="0.25">
      <c r="J90" t="s">
        <v>90</v>
      </c>
      <c r="K90" t="s">
        <v>32</v>
      </c>
      <c r="L90" t="s">
        <v>18</v>
      </c>
      <c r="M90" t="s">
        <v>205</v>
      </c>
    </row>
    <row r="91" spans="10:13" x14ac:dyDescent="0.25">
      <c r="J91" t="s">
        <v>192</v>
      </c>
      <c r="K91" t="s">
        <v>83</v>
      </c>
      <c r="L91" t="s">
        <v>26</v>
      </c>
      <c r="M91" t="s">
        <v>206</v>
      </c>
    </row>
    <row r="92" spans="10:13" x14ac:dyDescent="0.25">
      <c r="J92" t="s">
        <v>74</v>
      </c>
      <c r="K92" t="s">
        <v>55</v>
      </c>
      <c r="L92" t="s">
        <v>18</v>
      </c>
      <c r="M92" t="s">
        <v>205</v>
      </c>
    </row>
    <row r="93" spans="10:13" x14ac:dyDescent="0.25">
      <c r="J93" t="s">
        <v>81</v>
      </c>
      <c r="K93" t="s">
        <v>83</v>
      </c>
      <c r="L93" t="s">
        <v>26</v>
      </c>
      <c r="M93" t="s">
        <v>206</v>
      </c>
    </row>
    <row r="94" spans="10:13" x14ac:dyDescent="0.25">
      <c r="J94" t="s">
        <v>199</v>
      </c>
      <c r="K94" t="s">
        <v>55</v>
      </c>
      <c r="L94" t="s">
        <v>18</v>
      </c>
      <c r="M94" t="s">
        <v>206</v>
      </c>
    </row>
    <row r="95" spans="10:13" x14ac:dyDescent="0.25">
      <c r="J95" t="s">
        <v>143</v>
      </c>
      <c r="K95" t="s">
        <v>145</v>
      </c>
      <c r="L95" t="s">
        <v>37</v>
      </c>
      <c r="M95" t="s">
        <v>205</v>
      </c>
    </row>
    <row r="96" spans="10:13" x14ac:dyDescent="0.25">
      <c r="J96" t="s">
        <v>130</v>
      </c>
      <c r="K96" t="s">
        <v>36</v>
      </c>
      <c r="L96" t="s">
        <v>37</v>
      </c>
      <c r="M96" t="s">
        <v>206</v>
      </c>
    </row>
    <row r="97" spans="10:13" x14ac:dyDescent="0.25">
      <c r="J97" t="s">
        <v>84</v>
      </c>
      <c r="K97" t="s">
        <v>86</v>
      </c>
      <c r="L97" t="s">
        <v>37</v>
      </c>
      <c r="M97" t="s">
        <v>205</v>
      </c>
    </row>
    <row r="98" spans="10:13" x14ac:dyDescent="0.25">
      <c r="J98" t="s">
        <v>110</v>
      </c>
      <c r="K98" t="s">
        <v>111</v>
      </c>
      <c r="L98" t="s">
        <v>18</v>
      </c>
      <c r="M98" t="s">
        <v>205</v>
      </c>
    </row>
    <row r="99" spans="10:13" x14ac:dyDescent="0.25">
      <c r="J99" t="s">
        <v>41</v>
      </c>
      <c r="K99" t="s">
        <v>43</v>
      </c>
      <c r="L99" t="s">
        <v>18</v>
      </c>
      <c r="M99" t="s">
        <v>205</v>
      </c>
    </row>
    <row r="100" spans="10:13" x14ac:dyDescent="0.25">
      <c r="J100" t="s">
        <v>134</v>
      </c>
      <c r="K100" t="s">
        <v>136</v>
      </c>
      <c r="L100" t="s">
        <v>18</v>
      </c>
      <c r="M100" t="s">
        <v>205</v>
      </c>
    </row>
    <row r="101" spans="10:13" x14ac:dyDescent="0.25">
      <c r="J101" t="s">
        <v>69</v>
      </c>
      <c r="K101" t="s">
        <v>71</v>
      </c>
      <c r="L101" t="s">
        <v>18</v>
      </c>
      <c r="M101" t="s">
        <v>206</v>
      </c>
    </row>
    <row r="102" spans="10:13" x14ac:dyDescent="0.25">
      <c r="J102" t="s">
        <v>197</v>
      </c>
      <c r="K102" t="s">
        <v>142</v>
      </c>
      <c r="L102" t="s">
        <v>18</v>
      </c>
      <c r="M102" t="s">
        <v>205</v>
      </c>
    </row>
    <row r="103" spans="10:13" x14ac:dyDescent="0.25">
      <c r="J103" t="s">
        <v>153</v>
      </c>
      <c r="K103" t="s">
        <v>154</v>
      </c>
      <c r="L103" t="s">
        <v>37</v>
      </c>
      <c r="M103" t="s">
        <v>206</v>
      </c>
    </row>
    <row r="104" spans="10:13" x14ac:dyDescent="0.25">
      <c r="J104" t="s">
        <v>232</v>
      </c>
      <c r="K104" t="s">
        <v>32</v>
      </c>
      <c r="L104" t="s">
        <v>18</v>
      </c>
      <c r="M104" t="s">
        <v>205</v>
      </c>
    </row>
    <row r="105" spans="10:13" x14ac:dyDescent="0.25">
      <c r="J105" t="s">
        <v>235</v>
      </c>
      <c r="K105" t="s">
        <v>43</v>
      </c>
      <c r="L105" t="s">
        <v>18</v>
      </c>
      <c r="M105" t="s">
        <v>204</v>
      </c>
    </row>
    <row r="106" spans="10:13" x14ac:dyDescent="0.25">
      <c r="J106" t="s">
        <v>236</v>
      </c>
      <c r="K106" t="s">
        <v>71</v>
      </c>
      <c r="L106" t="s">
        <v>18</v>
      </c>
      <c r="M106" t="s">
        <v>206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22E00-BFA6-4861-9E42-C4F0A154F971}">
  <sheetPr codeName="Planilha3"/>
  <dimension ref="A1:U35"/>
  <sheetViews>
    <sheetView showGridLines="0" showRowColHeaders="0" tabSelected="1" workbookViewId="0">
      <selection activeCell="A36" sqref="A36"/>
    </sheetView>
  </sheetViews>
  <sheetFormatPr defaultRowHeight="15" x14ac:dyDescent="0.25"/>
  <cols>
    <col min="1" max="3" width="9.140625" style="28"/>
    <col min="4" max="4" width="13.42578125" style="28" customWidth="1"/>
    <col min="5" max="5" width="40.7109375" style="28" customWidth="1"/>
    <col min="6" max="6" width="39.7109375" style="28" customWidth="1"/>
    <col min="7" max="7" width="26" style="28" customWidth="1"/>
    <col min="8" max="8" width="31.28515625" style="30" customWidth="1"/>
    <col min="9" max="9" width="35.5703125" style="28" customWidth="1"/>
    <col min="10" max="10" width="25.7109375" style="28" customWidth="1"/>
    <col min="11" max="11" width="10.28515625" style="28" customWidth="1"/>
    <col min="12" max="16384" width="9.140625" style="28"/>
  </cols>
  <sheetData>
    <row r="1" spans="1:21" x14ac:dyDescent="0.25">
      <c r="A1" s="24"/>
      <c r="B1" s="25"/>
      <c r="C1" s="25"/>
      <c r="D1" s="25"/>
      <c r="E1" s="25"/>
      <c r="F1" s="25"/>
      <c r="G1" s="25"/>
      <c r="H1" s="26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7"/>
    </row>
    <row r="2" spans="1:21" x14ac:dyDescent="0.25">
      <c r="A2" s="29"/>
      <c r="H2" s="28"/>
      <c r="U2" s="31"/>
    </row>
    <row r="3" spans="1:21" x14ac:dyDescent="0.25">
      <c r="A3" s="29"/>
      <c r="U3" s="31"/>
    </row>
    <row r="4" spans="1:21" x14ac:dyDescent="0.25">
      <c r="A4" s="29"/>
      <c r="U4" s="31"/>
    </row>
    <row r="5" spans="1:21" x14ac:dyDescent="0.25">
      <c r="A5" s="29"/>
      <c r="U5" s="31"/>
    </row>
    <row r="6" spans="1:21" x14ac:dyDescent="0.25">
      <c r="A6" s="29"/>
      <c r="U6" s="31"/>
    </row>
    <row r="7" spans="1:21" x14ac:dyDescent="0.25">
      <c r="A7" s="29"/>
      <c r="U7" s="31"/>
    </row>
    <row r="8" spans="1:21" x14ac:dyDescent="0.25">
      <c r="A8" s="29"/>
      <c r="U8" s="31"/>
    </row>
    <row r="9" spans="1:21" x14ac:dyDescent="0.25">
      <c r="A9" s="29"/>
      <c r="U9" s="31"/>
    </row>
    <row r="10" spans="1:21" x14ac:dyDescent="0.25">
      <c r="A10" s="29"/>
      <c r="U10" s="31"/>
    </row>
    <row r="11" spans="1:21" x14ac:dyDescent="0.25">
      <c r="A11" s="29"/>
      <c r="U11" s="31"/>
    </row>
    <row r="12" spans="1:21" x14ac:dyDescent="0.25">
      <c r="A12" s="29"/>
      <c r="U12" s="31"/>
    </row>
    <row r="13" spans="1:21" x14ac:dyDescent="0.25">
      <c r="A13" s="29"/>
      <c r="U13" s="31"/>
    </row>
    <row r="14" spans="1:21" x14ac:dyDescent="0.25">
      <c r="A14" s="29"/>
      <c r="U14" s="31"/>
    </row>
    <row r="15" spans="1:21" x14ac:dyDescent="0.25">
      <c r="A15" s="29"/>
      <c r="U15" s="31"/>
    </row>
    <row r="16" spans="1:21" x14ac:dyDescent="0.25">
      <c r="A16" s="29"/>
      <c r="U16" s="31"/>
    </row>
    <row r="17" spans="1:21" x14ac:dyDescent="0.25">
      <c r="A17" s="29"/>
      <c r="U17" s="31"/>
    </row>
    <row r="18" spans="1:21" x14ac:dyDescent="0.25">
      <c r="A18" s="29"/>
      <c r="U18" s="31"/>
    </row>
    <row r="19" spans="1:21" x14ac:dyDescent="0.25">
      <c r="A19" s="29"/>
      <c r="U19" s="31"/>
    </row>
    <row r="20" spans="1:21" x14ac:dyDescent="0.25">
      <c r="A20" s="29"/>
      <c r="U20" s="31"/>
    </row>
    <row r="21" spans="1:21" x14ac:dyDescent="0.25">
      <c r="A21" s="29"/>
      <c r="E21" s="40" t="s">
        <v>0</v>
      </c>
      <c r="F21" s="40" t="s">
        <v>3</v>
      </c>
      <c r="G21" s="40" t="s">
        <v>5</v>
      </c>
      <c r="H21" s="41" t="s">
        <v>231</v>
      </c>
      <c r="I21" s="42"/>
      <c r="U21" s="31"/>
    </row>
    <row r="22" spans="1:21" x14ac:dyDescent="0.25">
      <c r="A22" s="29"/>
      <c r="E22" s="37" t="str">
        <f ca="1">OFFSET(Dinâmicas!J5,$A$35,0)</f>
        <v>Bárbara Moraes</v>
      </c>
      <c r="F22" s="37" t="str">
        <f ca="1">OFFSET(Dinâmicas!K5,$A$35,0)</f>
        <v>Métodos Gráficos</v>
      </c>
      <c r="G22" s="38" t="str">
        <f ca="1">OFFSET(Dinâmicas!L5,$A$35,0)</f>
        <v>Biológico</v>
      </c>
      <c r="H22" s="38" t="str">
        <f ca="1">OFFSET(Dinâmicas!M5,$A$35,0)</f>
        <v>Válido</v>
      </c>
      <c r="I22" s="42"/>
      <c r="J22" s="30"/>
      <c r="U22" s="31"/>
    </row>
    <row r="23" spans="1:21" x14ac:dyDescent="0.25">
      <c r="A23" s="29"/>
      <c r="E23" s="37" t="str">
        <f ca="1">OFFSET(Dinâmicas!J6,$A$35,0)</f>
        <v>Bruna Costa</v>
      </c>
      <c r="F23" s="37" t="str">
        <f ca="1">OFFSET(Dinâmicas!K6,$A$35,0)</f>
        <v>Hospital Dia</v>
      </c>
      <c r="G23" s="38" t="str">
        <f ca="1">OFFSET(Dinâmicas!L6,$A$35,0)</f>
        <v>Químico</v>
      </c>
      <c r="H23" s="38" t="str">
        <f ca="1">OFFSET(Dinâmicas!M6,$A$35,0)</f>
        <v>Vencido</v>
      </c>
      <c r="I23" s="42"/>
      <c r="J23" s="30"/>
      <c r="U23" s="31"/>
    </row>
    <row r="24" spans="1:21" x14ac:dyDescent="0.25">
      <c r="A24" s="29"/>
      <c r="E24" s="37" t="str">
        <f ca="1">OFFSET(Dinâmicas!J7,$A$35,0)</f>
        <v>Caio Martins</v>
      </c>
      <c r="F24" s="37" t="str">
        <f ca="1">OFFSET(Dinâmicas!K7,$A$35,0)</f>
        <v>Hospital Dia</v>
      </c>
      <c r="G24" s="38" t="str">
        <f ca="1">OFFSET(Dinâmicas!L7,$A$35,0)</f>
        <v>Biológico</v>
      </c>
      <c r="H24" s="38" t="str">
        <f ca="1">OFFSET(Dinâmicas!M7,$A$35,0)</f>
        <v>Válido</v>
      </c>
      <c r="I24" s="42"/>
      <c r="J24" s="30"/>
      <c r="U24" s="31"/>
    </row>
    <row r="25" spans="1:21" x14ac:dyDescent="0.25">
      <c r="A25" s="29"/>
      <c r="E25" s="37" t="str">
        <f ca="1">OFFSET(Dinâmicas!J8,$A$35,0)</f>
        <v>Caio Nogueira</v>
      </c>
      <c r="F25" s="37" t="str">
        <f ca="1">OFFSET(Dinâmicas!K8,$A$35,0)</f>
        <v>Centro Cirúrgico</v>
      </c>
      <c r="G25" s="38" t="str">
        <f ca="1">OFFSET(Dinâmicas!L8,$A$35,0)</f>
        <v>Biológico</v>
      </c>
      <c r="H25" s="38" t="str">
        <f ca="1">OFFSET(Dinâmicas!M8,$A$35,0)</f>
        <v>Válido</v>
      </c>
      <c r="I25" s="42"/>
      <c r="J25" s="30"/>
      <c r="U25" s="31"/>
    </row>
    <row r="26" spans="1:21" x14ac:dyDescent="0.25">
      <c r="A26" s="29"/>
      <c r="E26" s="37" t="str">
        <f ca="1">OFFSET(Dinâmicas!J9,$A$35,0)</f>
        <v>Caroline Alves</v>
      </c>
      <c r="F26" s="37" t="str">
        <f ca="1">OFFSET(Dinâmicas!K9,$A$35,0)</f>
        <v>Laboratório de Anatomia Patológica</v>
      </c>
      <c r="G26" s="38" t="str">
        <f ca="1">OFFSET(Dinâmicas!L9,$A$35,0)</f>
        <v>Químico</v>
      </c>
      <c r="H26" s="38" t="str">
        <f ca="1">OFFSET(Dinâmicas!M9,$A$35,0)</f>
        <v>Menos de 30 dias para vencer</v>
      </c>
      <c r="I26" s="42"/>
      <c r="J26" s="30"/>
      <c r="U26" s="31"/>
    </row>
    <row r="27" spans="1:21" x14ac:dyDescent="0.25">
      <c r="A27" s="29"/>
      <c r="E27" s="37" t="str">
        <f ca="1">OFFSET(Dinâmicas!J10,$A$35,0)</f>
        <v>Daniela Souza</v>
      </c>
      <c r="F27" s="37" t="str">
        <f ca="1">OFFSET(Dinâmicas!K10,$A$35,0)</f>
        <v>Ortopedia</v>
      </c>
      <c r="G27" s="38" t="str">
        <f ca="1">OFFSET(Dinâmicas!L10,$A$35,0)</f>
        <v>Radiação</v>
      </c>
      <c r="H27" s="38" t="str">
        <f ca="1">OFFSET(Dinâmicas!M10,$A$35,0)</f>
        <v>Funcionário desligado</v>
      </c>
      <c r="I27" s="42"/>
      <c r="J27" s="30"/>
      <c r="U27" s="31"/>
    </row>
    <row r="28" spans="1:21" x14ac:dyDescent="0.25">
      <c r="A28" s="29"/>
      <c r="E28" s="37" t="str">
        <f ca="1">OFFSET(Dinâmicas!J11,$A$35,0)</f>
        <v>Danilo Nunes</v>
      </c>
      <c r="F28" s="37" t="str">
        <f ca="1">OFFSET(Dinâmicas!K11,$A$35,0)</f>
        <v>Pediatria</v>
      </c>
      <c r="G28" s="38" t="str">
        <f ca="1">OFFSET(Dinâmicas!L11,$A$35,0)</f>
        <v>Biológico</v>
      </c>
      <c r="H28" s="38" t="str">
        <f ca="1">OFFSET(Dinâmicas!M11,$A$35,0)</f>
        <v>Válido</v>
      </c>
      <c r="I28" s="42"/>
      <c r="J28" s="30"/>
      <c r="U28" s="31"/>
    </row>
    <row r="29" spans="1:21" x14ac:dyDescent="0.25">
      <c r="A29" s="29"/>
      <c r="E29" s="37" t="str">
        <f ca="1">OFFSET(Dinâmicas!J12,$A$35,0)</f>
        <v>Davi Jesus</v>
      </c>
      <c r="F29" s="37" t="str">
        <f ca="1">OFFSET(Dinâmicas!K12,$A$35,0)</f>
        <v>Clínica Médica</v>
      </c>
      <c r="G29" s="38" t="str">
        <f ca="1">OFFSET(Dinâmicas!L12,$A$35,0)</f>
        <v>Biológico</v>
      </c>
      <c r="H29" s="38" t="str">
        <f ca="1">OFFSET(Dinâmicas!M12,$A$35,0)</f>
        <v>Vencido</v>
      </c>
      <c r="I29" s="42"/>
      <c r="J29" s="30"/>
      <c r="U29" s="31"/>
    </row>
    <row r="30" spans="1:21" x14ac:dyDescent="0.25">
      <c r="A30" s="29"/>
      <c r="E30" s="37" t="str">
        <f ca="1">OFFSET(Dinâmicas!J13,$A$35,0)</f>
        <v>Davi Lucas Gomes</v>
      </c>
      <c r="F30" s="37" t="str">
        <f ca="1">OFFSET(Dinâmicas!K13,$A$35,0)</f>
        <v>Centro Cirúrgico</v>
      </c>
      <c r="G30" s="38" t="str">
        <f ca="1">OFFSET(Dinâmicas!L13,$A$35,0)</f>
        <v>Biológico</v>
      </c>
      <c r="H30" s="38" t="str">
        <f ca="1">OFFSET(Dinâmicas!M13,$A$35,0)</f>
        <v>Menos de 30 dias para vencer</v>
      </c>
      <c r="I30" s="42"/>
      <c r="J30" s="30"/>
      <c r="U30" s="31"/>
    </row>
    <row r="31" spans="1:21" x14ac:dyDescent="0.25">
      <c r="A31" s="29"/>
      <c r="E31" s="37" t="str">
        <f ca="1">OFFSET(Dinâmicas!J14,$A$35,0)</f>
        <v>Davi Luiz da Conceição</v>
      </c>
      <c r="F31" s="37" t="str">
        <f ca="1">OFFSET(Dinâmicas!K14,$A$35,0)</f>
        <v>Controladoria</v>
      </c>
      <c r="G31" s="38" t="str">
        <f ca="1">OFFSET(Dinâmicas!L14,$A$35,0)</f>
        <v>Ergonômico</v>
      </c>
      <c r="H31" s="38" t="str">
        <f ca="1">OFFSET(Dinâmicas!M14,$A$35,0)</f>
        <v>Válido</v>
      </c>
      <c r="I31" s="42"/>
      <c r="J31" s="30"/>
      <c r="U31" s="31"/>
    </row>
    <row r="32" spans="1:21" x14ac:dyDescent="0.25">
      <c r="A32" s="29"/>
      <c r="E32" s="37" t="str">
        <f ca="1">OFFSET(Dinâmicas!J15,$A$35,0)</f>
        <v>Davi Ribeiro</v>
      </c>
      <c r="F32" s="37" t="str">
        <f ca="1">OFFSET(Dinâmicas!K15,$A$35,0)</f>
        <v>Ortopedia</v>
      </c>
      <c r="G32" s="38" t="str">
        <f ca="1">OFFSET(Dinâmicas!L15,$A$35,0)</f>
        <v>Biológico</v>
      </c>
      <c r="H32" s="38" t="str">
        <f ca="1">OFFSET(Dinâmicas!M15,$A$35,0)</f>
        <v>Funcionário desligado</v>
      </c>
      <c r="I32" s="42"/>
      <c r="J32" s="30"/>
      <c r="U32" s="31"/>
    </row>
    <row r="33" spans="1:21" ht="15.75" thickBot="1" x14ac:dyDescent="0.3">
      <c r="A33" s="32"/>
      <c r="B33" s="33"/>
      <c r="C33" s="33"/>
      <c r="D33" s="33"/>
      <c r="E33" s="33"/>
      <c r="F33" s="33"/>
      <c r="G33" s="33"/>
      <c r="H33" s="34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5"/>
    </row>
    <row r="35" spans="1:21" x14ac:dyDescent="0.25">
      <c r="A35" s="28">
        <v>4</v>
      </c>
    </row>
  </sheetData>
  <phoneticPr fontId="2" type="noConversion"/>
  <conditionalFormatting sqref="I17">
    <cfRule type="containsText" dxfId="6" priority="8" operator="containsText" text="Vencido">
      <formula>NOT(ISERROR(SEARCH("Vencido",I17)))</formula>
    </cfRule>
  </conditionalFormatting>
  <conditionalFormatting sqref="E21:H32">
    <cfRule type="cellIs" dxfId="5" priority="10" operator="equal">
      <formula>0</formula>
    </cfRule>
  </conditionalFormatting>
  <conditionalFormatting sqref="H22:H32">
    <cfRule type="cellIs" dxfId="4" priority="1" operator="equal">
      <formula>"Vencido"</formula>
    </cfRule>
    <cfRule type="cellIs" dxfId="3" priority="2" operator="equal">
      <formula>"Menos de 30 dias para vencer"</formula>
    </cfRule>
    <cfRule type="cellIs" dxfId="2" priority="3" operator="equal">
      <formula>"Válido"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050" r:id="rId3" name="Atualizar">
          <controlPr defaultSize="0" autoLine="0" r:id="rId4">
            <anchor moveWithCells="1">
              <from>
                <xdr:col>7</xdr:col>
                <xdr:colOff>1438275</xdr:colOff>
                <xdr:row>0</xdr:row>
                <xdr:rowOff>95250</xdr:rowOff>
              </from>
              <to>
                <xdr:col>8</xdr:col>
                <xdr:colOff>304800</xdr:colOff>
                <xdr:row>1</xdr:row>
                <xdr:rowOff>180975</xdr:rowOff>
              </to>
            </anchor>
          </controlPr>
        </control>
      </mc:Choice>
      <mc:Fallback>
        <control shapeId="2050" r:id="rId3" name="Atualizar"/>
      </mc:Fallback>
    </mc:AlternateContent>
    <mc:AlternateContent xmlns:mc="http://schemas.openxmlformats.org/markup-compatibility/2006">
      <mc:Choice Requires="x14">
        <control shapeId="2049" r:id="rId5" name="Scroll Bar 1">
          <controlPr defaultSize="0" print="0" autoPict="0">
            <anchor>
              <from>
                <xdr:col>3</xdr:col>
                <xdr:colOff>523875</xdr:colOff>
                <xdr:row>19</xdr:row>
                <xdr:rowOff>171450</xdr:rowOff>
              </from>
              <to>
                <xdr:col>3</xdr:col>
                <xdr:colOff>828675</xdr:colOff>
                <xdr:row>31</xdr:row>
                <xdr:rowOff>190500</xdr:rowOff>
              </to>
            </anchor>
          </controlPr>
        </control>
      </mc:Choice>
    </mc:AlternateContent>
  </controls>
  <tableParts count="1">
    <tablePart r:id="rId6"/>
  </tableParts>
  <extLst>
    <ext xmlns:x14="http://schemas.microsoft.com/office/spreadsheetml/2009/9/main" uri="{A8765BA9-456A-4dab-B4F3-ACF838C121DE}">
      <x14:slicerList>
        <x14:slicer r:id="rId7"/>
      </x14:slicerList>
    </ext>
    <ext xmlns:x15="http://schemas.microsoft.com/office/spreadsheetml/2010/11/main" uri="{7E03D99C-DC04-49d9-9315-930204A7B6E9}">
      <x15:timelineRefs>
        <x15:timelineRef r:id="rId8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ASO</vt:lpstr>
      <vt:lpstr>Dinâmicas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amand</dc:creator>
  <cp:lastModifiedBy>amand</cp:lastModifiedBy>
  <dcterms:created xsi:type="dcterms:W3CDTF">2023-02-09T23:30:17Z</dcterms:created>
  <dcterms:modified xsi:type="dcterms:W3CDTF">2023-03-28T21:52:55Z</dcterms:modified>
</cp:coreProperties>
</file>